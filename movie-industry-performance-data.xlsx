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99c951d23adfc5/Documents/"/>
    </mc:Choice>
  </mc:AlternateContent>
  <xr:revisionPtr revIDLastSave="155" documentId="8_{87FBD62C-ADED-440D-971F-3F35464C848C}" xr6:coauthVersionLast="47" xr6:coauthVersionMax="47" xr10:uidLastSave="{391566DE-3D91-48BD-AC3F-E3B4E12E0350}"/>
  <bookViews>
    <workbookView xWindow="-108" yWindow="-108" windowWidth="23256" windowHeight="12456" xr2:uid="{8C0C6A04-1D26-4387-B5DF-4C7B199F6166}"/>
  </bookViews>
  <sheets>
    <sheet name="MOVIE" sheetId="1" r:id="rId1"/>
    <sheet name="financial" sheetId="2" r:id="rId2"/>
    <sheet name="actor" sheetId="3" r:id="rId3"/>
    <sheet name="movie_actor" sheetId="5" r:id="rId4"/>
    <sheet name="languag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M7" i="1"/>
  <c r="M13" i="1"/>
  <c r="M22" i="1"/>
  <c r="M26" i="1"/>
  <c r="M35" i="1"/>
  <c r="L7" i="1"/>
  <c r="L13" i="1"/>
  <c r="H6" i="2"/>
  <c r="J2" i="1"/>
  <c r="J3" i="1"/>
  <c r="M3" i="1" s="1"/>
  <c r="J4" i="1"/>
  <c r="M4" i="1" s="1"/>
  <c r="J5" i="1"/>
  <c r="J6" i="1"/>
  <c r="J8" i="1"/>
  <c r="J9" i="1"/>
  <c r="M9" i="1" s="1"/>
  <c r="J10" i="1"/>
  <c r="M10" i="1" s="1"/>
  <c r="J11" i="1"/>
  <c r="J12" i="1"/>
  <c r="M12" i="1" s="1"/>
  <c r="J14" i="1"/>
  <c r="M14" i="1" s="1"/>
  <c r="J15" i="1"/>
  <c r="J16" i="1"/>
  <c r="J17" i="1"/>
  <c r="M17" i="1" s="1"/>
  <c r="J18" i="1"/>
  <c r="M18" i="1" s="1"/>
  <c r="J19" i="1"/>
  <c r="J20" i="1"/>
  <c r="J21" i="1"/>
  <c r="J22" i="1"/>
  <c r="J23" i="1"/>
  <c r="M23" i="1" s="1"/>
  <c r="J24" i="1"/>
  <c r="J25" i="1"/>
  <c r="M25" i="1" s="1"/>
  <c r="J26" i="1"/>
  <c r="J27" i="1"/>
  <c r="M27" i="1" s="1"/>
  <c r="J28" i="1"/>
  <c r="J29" i="1"/>
  <c r="M29" i="1" s="1"/>
  <c r="J30" i="1"/>
  <c r="M30" i="1" s="1"/>
  <c r="J31" i="1"/>
  <c r="J32" i="1"/>
  <c r="J33" i="1"/>
  <c r="J34" i="1"/>
  <c r="J35" i="1"/>
  <c r="J36" i="1"/>
  <c r="J37" i="1"/>
  <c r="J38" i="1"/>
  <c r="J39" i="1"/>
  <c r="M39" i="1" s="1"/>
  <c r="J40" i="1"/>
  <c r="K40" i="1"/>
  <c r="I40" i="1"/>
  <c r="H40" i="1"/>
  <c r="K39" i="1"/>
  <c r="I39" i="1"/>
  <c r="H39" i="1"/>
  <c r="K38" i="1"/>
  <c r="I38" i="1"/>
  <c r="H38" i="1"/>
  <c r="K37" i="1"/>
  <c r="I37" i="1"/>
  <c r="H37" i="1"/>
  <c r="K36" i="1"/>
  <c r="I36" i="1"/>
  <c r="M36" i="1" s="1"/>
  <c r="H36" i="1"/>
  <c r="K35" i="1"/>
  <c r="I35" i="1"/>
  <c r="H35" i="1"/>
  <c r="K34" i="1"/>
  <c r="I34" i="1"/>
  <c r="M34" i="1" s="1"/>
  <c r="H34" i="1"/>
  <c r="K33" i="1"/>
  <c r="I33" i="1"/>
  <c r="M33" i="1" s="1"/>
  <c r="H33" i="1"/>
  <c r="K32" i="1"/>
  <c r="I32" i="1"/>
  <c r="H32" i="1"/>
  <c r="K31" i="1"/>
  <c r="I31" i="1"/>
  <c r="H31" i="1"/>
  <c r="K30" i="1"/>
  <c r="I30" i="1"/>
  <c r="H30" i="1"/>
  <c r="K29" i="1"/>
  <c r="I29" i="1"/>
  <c r="H29" i="1"/>
  <c r="K28" i="1"/>
  <c r="I28" i="1"/>
  <c r="H28" i="1"/>
  <c r="K27" i="1"/>
  <c r="I27" i="1"/>
  <c r="H27" i="1"/>
  <c r="K26" i="1"/>
  <c r="I26" i="1"/>
  <c r="H26" i="1"/>
  <c r="K25" i="1"/>
  <c r="I25" i="1"/>
  <c r="H25" i="1"/>
  <c r="K24" i="1"/>
  <c r="I24" i="1"/>
  <c r="M24" i="1" s="1"/>
  <c r="H24" i="1"/>
  <c r="K23" i="1"/>
  <c r="I23" i="1"/>
  <c r="H23" i="1"/>
  <c r="K22" i="1"/>
  <c r="I22" i="1"/>
  <c r="H22" i="1"/>
  <c r="L22" i="1" s="1"/>
  <c r="K21" i="1"/>
  <c r="I21" i="1"/>
  <c r="M21" i="1" s="1"/>
  <c r="H21" i="1"/>
  <c r="K20" i="1"/>
  <c r="I20" i="1"/>
  <c r="H20" i="1"/>
  <c r="K19" i="1"/>
  <c r="I19" i="1"/>
  <c r="H19" i="1"/>
  <c r="K18" i="1"/>
  <c r="I18" i="1"/>
  <c r="H18" i="1"/>
  <c r="K17" i="1"/>
  <c r="I17" i="1"/>
  <c r="H17" i="1"/>
  <c r="K16" i="1"/>
  <c r="I16" i="1"/>
  <c r="H16" i="1"/>
  <c r="K15" i="1"/>
  <c r="I15" i="1"/>
  <c r="H15" i="1"/>
  <c r="K14" i="1"/>
  <c r="I14" i="1"/>
  <c r="H14" i="1"/>
  <c r="K12" i="1"/>
  <c r="I12" i="1"/>
  <c r="H12" i="1"/>
  <c r="L12" i="1" s="1"/>
  <c r="K11" i="1"/>
  <c r="I11" i="1"/>
  <c r="M11" i="1" s="1"/>
  <c r="H11" i="1"/>
  <c r="K10" i="1"/>
  <c r="I10" i="1"/>
  <c r="H10" i="1"/>
  <c r="K9" i="1"/>
  <c r="I9" i="1"/>
  <c r="H9" i="1"/>
  <c r="K8" i="1"/>
  <c r="I8" i="1"/>
  <c r="H8" i="1"/>
  <c r="K6" i="1"/>
  <c r="I6" i="1"/>
  <c r="H6" i="1"/>
  <c r="K5" i="1"/>
  <c r="I5" i="1"/>
  <c r="H5" i="1"/>
  <c r="K4" i="1"/>
  <c r="I4" i="1"/>
  <c r="H4" i="1"/>
  <c r="K3" i="1"/>
  <c r="I3" i="1"/>
  <c r="H3" i="1"/>
  <c r="K2" i="1"/>
  <c r="I2" i="1"/>
  <c r="H2" i="1"/>
  <c r="M15" i="1" l="1"/>
  <c r="M2" i="1"/>
  <c r="L38" i="1"/>
  <c r="L26" i="1"/>
  <c r="L23" i="1"/>
  <c r="M40" i="1"/>
  <c r="L25" i="1"/>
  <c r="L14" i="1"/>
  <c r="L35" i="1"/>
  <c r="M16" i="1"/>
  <c r="L34" i="1"/>
  <c r="L9" i="1"/>
  <c r="M8" i="1"/>
  <c r="L37" i="1"/>
  <c r="M32" i="1"/>
  <c r="M20" i="1"/>
  <c r="M6" i="1"/>
  <c r="M38" i="1"/>
  <c r="L11" i="1"/>
  <c r="L24" i="1"/>
  <c r="L36" i="1"/>
  <c r="M31" i="1"/>
  <c r="M19" i="1"/>
  <c r="M5" i="1"/>
  <c r="M37" i="1"/>
  <c r="L28" i="1"/>
  <c r="L40" i="1"/>
  <c r="L2" i="1"/>
  <c r="M28" i="1"/>
  <c r="L10" i="1"/>
  <c r="L33" i="1"/>
  <c r="L19" i="1"/>
  <c r="L31" i="1"/>
  <c r="L30" i="1"/>
  <c r="L18" i="1"/>
  <c r="L6" i="1"/>
  <c r="L29" i="1"/>
  <c r="L17" i="1"/>
  <c r="L5" i="1"/>
  <c r="L21" i="1"/>
  <c r="L32" i="1"/>
  <c r="L8" i="1"/>
  <c r="L16" i="1"/>
  <c r="L4" i="1"/>
  <c r="L20" i="1"/>
  <c r="L39" i="1"/>
  <c r="L27" i="1"/>
  <c r="L15" i="1"/>
  <c r="L3" i="1"/>
</calcChain>
</file>

<file path=xl/sharedStrings.xml><?xml version="1.0" encoding="utf-8"?>
<sst xmlns="http://schemas.openxmlformats.org/spreadsheetml/2006/main" count="341" uniqueCount="162">
  <si>
    <t>Bollywood</t>
  </si>
  <si>
    <t>Hollywood</t>
  </si>
  <si>
    <t>Marvel Studios</t>
  </si>
  <si>
    <t>United Producers</t>
  </si>
  <si>
    <t>Yash Raj Films</t>
  </si>
  <si>
    <t>Dharma Productions</t>
  </si>
  <si>
    <t>Castle Rock Entertainment</t>
  </si>
  <si>
    <t>Warner Bros. Pictures</t>
  </si>
  <si>
    <t>Columbia Pictures</t>
  </si>
  <si>
    <t>Paramount Pictures</t>
  </si>
  <si>
    <t>Liberty Films</t>
  </si>
  <si>
    <t>20th Century Fox</t>
  </si>
  <si>
    <t>Syncopy</t>
  </si>
  <si>
    <t>Universal Pictures</t>
  </si>
  <si>
    <t>Vinod Chopra Productions</t>
  </si>
  <si>
    <t>Vinod Chopra Films</t>
  </si>
  <si>
    <t>Mythri Movie Makers</t>
  </si>
  <si>
    <t>DVV Entertainment</t>
  </si>
  <si>
    <t>Arka Media Works</t>
  </si>
  <si>
    <t>Zee Studios</t>
  </si>
  <si>
    <t>Salman Khan Films</t>
  </si>
  <si>
    <t>language_id</t>
  </si>
  <si>
    <t>Industry</t>
  </si>
  <si>
    <t>Release_year</t>
  </si>
  <si>
    <t>Imdb_rating</t>
  </si>
  <si>
    <t>Studio</t>
  </si>
  <si>
    <t>Language_id</t>
  </si>
  <si>
    <t>UNKNOW</t>
  </si>
  <si>
    <t>Hombale Films</t>
  </si>
  <si>
    <t>Government of West Bengal</t>
  </si>
  <si>
    <t>Doctor Strange in the Multiverse of Madness</t>
  </si>
  <si>
    <t>Sholay</t>
  </si>
  <si>
    <t>Dilwale Dulhania Le Jayenge</t>
  </si>
  <si>
    <t>Kabhi Khushi Kabhie Gham</t>
  </si>
  <si>
    <t>Inception</t>
  </si>
  <si>
    <t>Interstellar</t>
  </si>
  <si>
    <t>The Pursuit of Happyness</t>
  </si>
  <si>
    <t>Gladiator</t>
  </si>
  <si>
    <t>Titanic</t>
  </si>
  <si>
    <t>It's a Wonderful Life</t>
  </si>
  <si>
    <t>Avatar</t>
  </si>
  <si>
    <t>The Godfather</t>
  </si>
  <si>
    <t>The Dark Knight</t>
  </si>
  <si>
    <t>Schindler's List</t>
  </si>
  <si>
    <t>Jurassic Park</t>
  </si>
  <si>
    <t>Parasite</t>
  </si>
  <si>
    <t>Pather Panchali</t>
  </si>
  <si>
    <t>Taare Zameen Par</t>
  </si>
  <si>
    <t>Munna Bhai M.B.B.S.</t>
  </si>
  <si>
    <t>PK</t>
  </si>
  <si>
    <t>Sanju</t>
  </si>
  <si>
    <t>RRR</t>
  </si>
  <si>
    <t>The Kashmir Files</t>
  </si>
  <si>
    <t>Bajrangi Bhaijaan</t>
  </si>
  <si>
    <t>Race 3</t>
  </si>
  <si>
    <t>Shershaah</t>
  </si>
  <si>
    <t>K.G.F: Chapter 2</t>
  </si>
  <si>
    <t>Thor: The Dark World</t>
  </si>
  <si>
    <t>Thor: Ragnarok</t>
  </si>
  <si>
    <t>Thor: Love and Thunder</t>
  </si>
  <si>
    <t>3 Idiots</t>
  </si>
  <si>
    <t>Bajirao Mastani</t>
  </si>
  <si>
    <t>The Shawshank Redemption</t>
  </si>
  <si>
    <t>Avengers: Endgame</t>
  </si>
  <si>
    <t>Avengers: Infinity War</t>
  </si>
  <si>
    <t>Pushpa: The Rise - Part 1</t>
  </si>
  <si>
    <t>Baahubali: The Beginning</t>
  </si>
  <si>
    <t>Captain America: The First Avenger</t>
  </si>
  <si>
    <t>Captain America: The Winter Soldier</t>
  </si>
  <si>
    <t>Movie_id</t>
  </si>
  <si>
    <t>Movie_title</t>
  </si>
  <si>
    <t>movie_id</t>
  </si>
  <si>
    <t>budget</t>
  </si>
  <si>
    <t>revenue</t>
  </si>
  <si>
    <t>unit</t>
  </si>
  <si>
    <t>currency</t>
  </si>
  <si>
    <t>Billions</t>
  </si>
  <si>
    <t>INR</t>
  </si>
  <si>
    <t>Millions</t>
  </si>
  <si>
    <t>USD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</si>
  <si>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</si>
  <si>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</si>
  <si>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</si>
  <si>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</si>
  <si>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</si>
  <si>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</si>
  <si>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</si>
  <si>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</si>
  <si>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</si>
  <si>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</si>
  <si>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</si>
  <si>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</si>
  <si>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</si>
  <si>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</si>
  <si>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</si>
  <si>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</si>
  <si>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</si>
  <si>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</si>
  <si>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</si>
  <si>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</si>
  <si>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</si>
  <si>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</si>
  <si>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</si>
  <si>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</si>
  <si>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</si>
  <si>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</si>
  <si>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</si>
  <si>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</si>
  <si>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</si>
  <si>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</si>
  <si>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</si>
  <si>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</si>
  <si>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</si>
  <si>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</si>
  <si>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</si>
  <si>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</si>
  <si>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</si>
  <si>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</si>
  <si>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</si>
  <si>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</si>
  <si>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</si>
  <si>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</si>
  <si>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</si>
  <si>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</si>
  <si>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</si>
  <si>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</si>
  <si>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</si>
  <si>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</si>
  <si>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</si>
  <si>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</si>
  <si>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</si>
  <si>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</si>
  <si>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</si>
  <si>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</si>
  <si>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</si>
  <si>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</si>
  <si>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</si>
  <si>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</si>
  <si>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</si>
  <si>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</si>
  <si>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</si>
  <si>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</si>
  <si>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</si>
  <si>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</si>
  <si>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</si>
  <si>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</si>
  <si>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</si>
  <si>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</si>
  <si>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</si>
  <si>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</si>
  <si>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</si>
  <si>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</si>
  <si>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</si>
  <si>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</si>
  <si>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</si>
  <si>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</si>
  <si>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</si>
  <si>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</si>
  <si>
    <t>Currency</t>
  </si>
  <si>
    <t>budgets_Unit_Millions</t>
  </si>
  <si>
    <t>revenue_Unit_Millions</t>
  </si>
  <si>
    <t>currency_millions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</si>
</sst>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1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4107C78-3701-49B5-B7A3-9EA3BDCC8F32}">
  <we:reference id="wa200005502" version="1.0.0.12" store="en-US" storeType="OMEX"/>
  <we:alternateReferences>
    <we:reference id="WA200005502" version="1.0.0.12" store="" storeType="OMEX"/>
  </we:alternateReferences>
  <we:properties>
    <we:property name="docId" value="&quot;16U_F4NPZEMO11W8JpYrr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AB202E3-5C41-4156-88D6-05FACBC715BE}">
  <we:reference id="wa200006575" version="1.0.0.8" store="en-US" storeType="OMEX"/>
  <we:alternateReferences>
    <we:reference id="WA200006575" version="1.0.0.8" store="WA20000657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AEF3-530D-46E5-B14B-313F6DE0ED59}">
  <dimension ref="A1:O40"/>
  <sheetViews>
    <sheetView tabSelected="1" topLeftCell="B1" zoomScale="85" zoomScaleNormal="85" workbookViewId="0">
      <selection activeCell="O2" sqref="O2"/>
    </sheetView>
  </sheetViews>
  <sheetFormatPr defaultRowHeight="14.4" x14ac:dyDescent="0.3"/>
  <cols>
    <col min="1" max="1" width="9.21875" bestFit="1" customWidth="1"/>
    <col min="2" max="2" width="39.6640625" bestFit="1" customWidth="1"/>
    <col min="3" max="3" width="9.77734375" bestFit="1" customWidth="1"/>
    <col min="4" max="4" width="12.5546875" bestFit="1" customWidth="1"/>
    <col min="5" max="5" width="11.88671875" bestFit="1" customWidth="1"/>
    <col min="6" max="6" width="25.21875" bestFit="1" customWidth="1"/>
    <col min="7" max="7" width="11.6640625" customWidth="1"/>
    <col min="8" max="8" width="14.109375" style="5" bestFit="1" customWidth="1"/>
    <col min="9" max="9" width="14.109375" bestFit="1" customWidth="1"/>
    <col min="10" max="11" width="14.6640625" bestFit="1" customWidth="1"/>
    <col min="12" max="12" width="21.33203125" style="5" bestFit="1" customWidth="1"/>
    <col min="13" max="13" width="21.44140625" style="5" bestFit="1" customWidth="1"/>
    <col min="14" max="14" width="16.88671875" bestFit="1" customWidth="1"/>
  </cols>
  <sheetData>
    <row r="1" spans="1:15" x14ac:dyDescent="0.3">
      <c r="A1" s="1" t="s">
        <v>69</v>
      </c>
      <c r="B1" s="1" t="s">
        <v>70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6" t="s">
        <v>72</v>
      </c>
      <c r="I1" s="1" t="s">
        <v>73</v>
      </c>
      <c r="J1" s="1" t="s">
        <v>74</v>
      </c>
      <c r="K1" s="1" t="s">
        <v>158</v>
      </c>
      <c r="L1" s="6" t="s">
        <v>159</v>
      </c>
      <c r="M1" s="6" t="s">
        <v>160</v>
      </c>
      <c r="N1" s="1" t="s">
        <v>161</v>
      </c>
    </row>
    <row r="2" spans="1:15" x14ac:dyDescent="0.3">
      <c r="A2">
        <v>101</v>
      </c>
      <c r="B2" t="s">
        <v>56</v>
      </c>
      <c r="C2" t="s">
        <v>0</v>
      </c>
      <c r="D2">
        <v>2022</v>
      </c>
      <c r="E2">
        <v>8.4</v>
      </c>
      <c r="F2" t="s">
        <v>28</v>
      </c>
      <c r="G2">
        <v>3</v>
      </c>
      <c r="H2" s="5">
        <f>IFERROR(INDEX(financial!$A$2:$E$41, MATCH($A2,financial!$A$2:$A$41,0), MATCH(H$1,financial!$A$1:$E$1,0)),"NOT AVAILABLE")</f>
        <v>1</v>
      </c>
      <c r="I2">
        <f>IFERROR(INDEX(financial!$A$2:$E$41, MATCH($A2,financial!$A$2:$A$41,0), MATCH(I$1,financial!$A$1:$E$1,0)),"NOT AVAILABLE")</f>
        <v>12.5</v>
      </c>
      <c r="J2" t="str">
        <f>IFERROR(INDEX(financial!$A$2:$E$41, MATCH($A2,financial!$A$2:$A$41,0), MATCH(J$1,financial!$A$1:$E$1,0)),"NOT AVAILABLE")</f>
        <v>Billions</v>
      </c>
      <c r="K2" t="str">
        <f>IFERROR(INDEX(financial!$A$2:$E$41, MATCH($A2,financial!$A$2:$A$41,0), MATCH(K$1,financial!$A$1:$E$1,0)),"NOT AVAILABLE")</f>
        <v>INR</v>
      </c>
      <c r="L2" s="5">
        <f t="shared" ref="L2:L40" si="0">IF(J2="Billions",H2*1000,H2)</f>
        <v>1000</v>
      </c>
      <c r="M2" s="5">
        <f>IF(J2="Billions",I2*1000,I2)</f>
        <v>12500</v>
      </c>
      <c r="N2" t="s">
        <v>77</v>
      </c>
      <c r="O2" t="str">
        <f>A2/1000&amp;"M"</f>
        <v>0.101M</v>
      </c>
    </row>
    <row r="3" spans="1:15" x14ac:dyDescent="0.3">
      <c r="A3">
        <v>102</v>
      </c>
      <c r="B3" t="s">
        <v>30</v>
      </c>
      <c r="C3" t="s">
        <v>1</v>
      </c>
      <c r="D3">
        <v>2022</v>
      </c>
      <c r="E3">
        <v>7</v>
      </c>
      <c r="F3" t="s">
        <v>2</v>
      </c>
      <c r="G3">
        <v>5</v>
      </c>
      <c r="H3" s="5">
        <f>IFERROR(INDEX(financial!$A$2:$E$41, MATCH($A3,financial!$A$2:$A$41,0), MATCH(H$1,financial!$A$1:$E$1,0)),"NOT AVAILABLE")</f>
        <v>200</v>
      </c>
      <c r="I3">
        <f>IFERROR(INDEX(financial!$A$2:$E$41, MATCH($A3,financial!$A$2:$A$41,0), MATCH(I$1,financial!$A$1:$E$1,0)),"NOT AVAILABLE")</f>
        <v>954.8</v>
      </c>
      <c r="J3" t="str">
        <f>IFERROR(INDEX(financial!$A$2:$E$41, MATCH($A3,financial!$A$2:$A$41,0), MATCH(J$1,financial!$A$1:$E$1,0)),"NOT AVAILABLE")</f>
        <v>Millions</v>
      </c>
      <c r="K3" t="str">
        <f>IFERROR(INDEX(financial!$A$2:$E$41, MATCH($A3,financial!$A$2:$A$41,0), MATCH(K$1,financial!$A$1:$E$1,0)),"NOT AVAILABLE")</f>
        <v>USD</v>
      </c>
      <c r="L3" s="5">
        <f t="shared" si="0"/>
        <v>200</v>
      </c>
      <c r="M3" s="5">
        <f t="shared" ref="M3:M40" si="1">IF(J3="Billions",I3*1000,I3)</f>
        <v>954.8</v>
      </c>
      <c r="N3" t="s">
        <v>77</v>
      </c>
    </row>
    <row r="4" spans="1:15" x14ac:dyDescent="0.3">
      <c r="A4">
        <v>103</v>
      </c>
      <c r="B4" t="s">
        <v>57</v>
      </c>
      <c r="C4" t="s">
        <v>1</v>
      </c>
      <c r="D4">
        <v>2013</v>
      </c>
      <c r="E4">
        <v>6.8</v>
      </c>
      <c r="F4" t="s">
        <v>2</v>
      </c>
      <c r="G4">
        <v>5</v>
      </c>
      <c r="H4" s="5">
        <f>IFERROR(INDEX(financial!$A$2:$E$41, MATCH($A4,financial!$A$2:$A$41,0), MATCH(H$1,financial!$A$1:$E$1,0)),"NOT AVAILABLE")</f>
        <v>165</v>
      </c>
      <c r="I4">
        <f>IFERROR(INDEX(financial!$A$2:$E$41, MATCH($A4,financial!$A$2:$A$41,0), MATCH(I$1,financial!$A$1:$E$1,0)),"NOT AVAILABLE")</f>
        <v>644.79999999999995</v>
      </c>
      <c r="J4" t="str">
        <f>IFERROR(INDEX(financial!$A$2:$E$41, MATCH($A4,financial!$A$2:$A$41,0), MATCH(J$1,financial!$A$1:$E$1,0)),"NOT AVAILABLE")</f>
        <v>Millions</v>
      </c>
      <c r="K4" t="str">
        <f>IFERROR(INDEX(financial!$A$2:$E$41, MATCH($A4,financial!$A$2:$A$41,0), MATCH(K$1,financial!$A$1:$E$1,0)),"NOT AVAILABLE")</f>
        <v>USD</v>
      </c>
      <c r="L4" s="5">
        <f t="shared" si="0"/>
        <v>165</v>
      </c>
      <c r="M4" s="5">
        <f t="shared" si="1"/>
        <v>644.79999999999995</v>
      </c>
      <c r="N4" t="s">
        <v>77</v>
      </c>
    </row>
    <row r="5" spans="1:15" x14ac:dyDescent="0.3">
      <c r="A5">
        <v>104</v>
      </c>
      <c r="B5" t="s">
        <v>58</v>
      </c>
      <c r="C5" t="s">
        <v>1</v>
      </c>
      <c r="D5">
        <v>2017</v>
      </c>
      <c r="E5">
        <v>7.9</v>
      </c>
      <c r="F5" t="s">
        <v>2</v>
      </c>
      <c r="G5">
        <v>5</v>
      </c>
      <c r="H5" s="5">
        <f>IFERROR(INDEX(financial!$A$2:$E$41, MATCH($A5,financial!$A$2:$A$41,0), MATCH(H$1,financial!$A$1:$E$1,0)),"NOT AVAILABLE")</f>
        <v>180</v>
      </c>
      <c r="I5">
        <f>IFERROR(INDEX(financial!$A$2:$E$41, MATCH($A5,financial!$A$2:$A$41,0), MATCH(I$1,financial!$A$1:$E$1,0)),"NOT AVAILABLE")</f>
        <v>854</v>
      </c>
      <c r="J5" t="str">
        <f>IFERROR(INDEX(financial!$A$2:$E$41, MATCH($A5,financial!$A$2:$A$41,0), MATCH(J$1,financial!$A$1:$E$1,0)),"NOT AVAILABLE")</f>
        <v>Millions</v>
      </c>
      <c r="K5" t="str">
        <f>IFERROR(INDEX(financial!$A$2:$E$41, MATCH($A5,financial!$A$2:$A$41,0), MATCH(K$1,financial!$A$1:$E$1,0)),"NOT AVAILABLE")</f>
        <v>USD</v>
      </c>
      <c r="L5" s="5">
        <f t="shared" si="0"/>
        <v>180</v>
      </c>
      <c r="M5" s="5">
        <f t="shared" si="1"/>
        <v>854</v>
      </c>
      <c r="N5" t="s">
        <v>77</v>
      </c>
    </row>
    <row r="6" spans="1:15" x14ac:dyDescent="0.3">
      <c r="A6">
        <v>105</v>
      </c>
      <c r="B6" t="s">
        <v>59</v>
      </c>
      <c r="C6" t="s">
        <v>1</v>
      </c>
      <c r="D6">
        <v>2022</v>
      </c>
      <c r="E6">
        <v>6.8</v>
      </c>
      <c r="F6" t="s">
        <v>2</v>
      </c>
      <c r="G6">
        <v>5</v>
      </c>
      <c r="H6" s="5">
        <f>IFERROR(INDEX(financial!$A$2:$E$41, MATCH($A6,financial!$A$2:$A$41,0), MATCH(H$1,financial!$A$1:$E$1,0)),"NOT AVAILABLE")</f>
        <v>250</v>
      </c>
      <c r="I6">
        <f>IFERROR(INDEX(financial!$A$2:$E$41, MATCH($A6,financial!$A$2:$A$41,0), MATCH(I$1,financial!$A$1:$E$1,0)),"NOT AVAILABLE")</f>
        <v>670</v>
      </c>
      <c r="J6" t="str">
        <f>IFERROR(INDEX(financial!$A$2:$E$41, MATCH($A6,financial!$A$2:$A$41,0), MATCH(J$1,financial!$A$1:$E$1,0)),"NOT AVAILABLE")</f>
        <v>Millions</v>
      </c>
      <c r="K6" t="str">
        <f>IFERROR(INDEX(financial!$A$2:$E$41, MATCH($A6,financial!$A$2:$A$41,0), MATCH(K$1,financial!$A$1:$E$1,0)),"NOT AVAILABLE")</f>
        <v>USD</v>
      </c>
      <c r="L6" s="5">
        <f t="shared" si="0"/>
        <v>250</v>
      </c>
      <c r="M6" s="5">
        <f t="shared" si="1"/>
        <v>670</v>
      </c>
      <c r="N6" t="s">
        <v>77</v>
      </c>
      <c r="O6" s="5"/>
    </row>
    <row r="7" spans="1:15" x14ac:dyDescent="0.3">
      <c r="A7">
        <v>106</v>
      </c>
      <c r="B7" t="s">
        <v>31</v>
      </c>
      <c r="C7" t="s">
        <v>0</v>
      </c>
      <c r="D7">
        <v>1975</v>
      </c>
      <c r="E7">
        <v>8.1</v>
      </c>
      <c r="F7" t="s">
        <v>3</v>
      </c>
      <c r="G7">
        <v>1</v>
      </c>
      <c r="H7" s="5">
        <v>30</v>
      </c>
      <c r="I7">
        <v>350</v>
      </c>
      <c r="J7" t="s">
        <v>78</v>
      </c>
      <c r="K7" t="s">
        <v>77</v>
      </c>
      <c r="L7" s="5">
        <f t="shared" si="0"/>
        <v>30</v>
      </c>
      <c r="M7" s="5">
        <f t="shared" si="1"/>
        <v>350</v>
      </c>
      <c r="N7" t="s">
        <v>77</v>
      </c>
    </row>
    <row r="8" spans="1:15" x14ac:dyDescent="0.3">
      <c r="A8">
        <v>107</v>
      </c>
      <c r="B8" t="s">
        <v>32</v>
      </c>
      <c r="C8" t="s">
        <v>0</v>
      </c>
      <c r="D8">
        <v>1995</v>
      </c>
      <c r="E8">
        <v>8</v>
      </c>
      <c r="F8" t="s">
        <v>4</v>
      </c>
      <c r="G8">
        <v>1</v>
      </c>
      <c r="H8" s="5">
        <f>IFERROR(INDEX(financial!$A$2:$E$41, MATCH($A8,financial!$A$2:$A$41,0), MATCH(H$1,financial!$A$1:$E$1,0)),"NOT AVAILABLE")</f>
        <v>400</v>
      </c>
      <c r="I8">
        <f>IFERROR(INDEX(financial!$A$2:$E$41, MATCH($A8,financial!$A$2:$A$41,0), MATCH(I$1,financial!$A$1:$E$1,0)),"NOT AVAILABLE")</f>
        <v>2000</v>
      </c>
      <c r="J8" t="str">
        <f>IFERROR(INDEX(financial!$A$2:$E$41, MATCH($A8,financial!$A$2:$A$41,0), MATCH(J$1,financial!$A$1:$E$1,0)),"NOT AVAILABLE")</f>
        <v>Millions</v>
      </c>
      <c r="K8" t="str">
        <f>IFERROR(INDEX(financial!$A$2:$E$41, MATCH($A8,financial!$A$2:$A$41,0), MATCH(K$1,financial!$A$1:$E$1,0)),"NOT AVAILABLE")</f>
        <v>INR</v>
      </c>
      <c r="L8" s="5">
        <f t="shared" si="0"/>
        <v>400</v>
      </c>
      <c r="M8" s="5">
        <f t="shared" si="1"/>
        <v>2000</v>
      </c>
      <c r="N8" t="s">
        <v>77</v>
      </c>
    </row>
    <row r="9" spans="1:15" x14ac:dyDescent="0.3">
      <c r="A9">
        <v>108</v>
      </c>
      <c r="B9" t="s">
        <v>60</v>
      </c>
      <c r="C9" t="s">
        <v>0</v>
      </c>
      <c r="D9">
        <v>2009</v>
      </c>
      <c r="E9">
        <v>8.4</v>
      </c>
      <c r="F9" t="s">
        <v>15</v>
      </c>
      <c r="G9">
        <v>1</v>
      </c>
      <c r="H9" s="5">
        <f>IFERROR(INDEX(financial!$A$2:$E$41, MATCH($A9,financial!$A$2:$A$41,0), MATCH(H$1,financial!$A$1:$E$1,0)),"NOT AVAILABLE")</f>
        <v>550</v>
      </c>
      <c r="I9">
        <f>IFERROR(INDEX(financial!$A$2:$E$41, MATCH($A9,financial!$A$2:$A$41,0), MATCH(I$1,financial!$A$1:$E$1,0)),"NOT AVAILABLE")</f>
        <v>4000</v>
      </c>
      <c r="J9" t="str">
        <f>IFERROR(INDEX(financial!$A$2:$E$41, MATCH($A9,financial!$A$2:$A$41,0), MATCH(J$1,financial!$A$1:$E$1,0)),"NOT AVAILABLE")</f>
        <v>Millions</v>
      </c>
      <c r="K9" t="str">
        <f>IFERROR(INDEX(financial!$A$2:$E$41, MATCH($A9,financial!$A$2:$A$41,0), MATCH(K$1,financial!$A$1:$E$1,0)),"NOT AVAILABLE")</f>
        <v>INR</v>
      </c>
      <c r="L9" s="5">
        <f t="shared" si="0"/>
        <v>550</v>
      </c>
      <c r="M9" s="5">
        <f t="shared" si="1"/>
        <v>4000</v>
      </c>
      <c r="N9" t="s">
        <v>77</v>
      </c>
    </row>
    <row r="10" spans="1:15" x14ac:dyDescent="0.3">
      <c r="A10">
        <v>109</v>
      </c>
      <c r="B10" t="s">
        <v>33</v>
      </c>
      <c r="C10" t="s">
        <v>0</v>
      </c>
      <c r="D10">
        <v>2001</v>
      </c>
      <c r="E10">
        <v>7.4</v>
      </c>
      <c r="F10" t="s">
        <v>5</v>
      </c>
      <c r="G10">
        <v>1</v>
      </c>
      <c r="H10" s="5">
        <f>IFERROR(INDEX(financial!$A$2:$E$41, MATCH($A10,financial!$A$2:$A$41,0), MATCH(H$1,financial!$A$1:$E$1,0)),"NOT AVAILABLE")</f>
        <v>390</v>
      </c>
      <c r="I10">
        <f>IFERROR(INDEX(financial!$A$2:$E$41, MATCH($A10,financial!$A$2:$A$41,0), MATCH(I$1,financial!$A$1:$E$1,0)),"NOT AVAILABLE")</f>
        <v>1360</v>
      </c>
      <c r="J10" t="str">
        <f>IFERROR(INDEX(financial!$A$2:$E$41, MATCH($A10,financial!$A$2:$A$41,0), MATCH(J$1,financial!$A$1:$E$1,0)),"NOT AVAILABLE")</f>
        <v>Millions</v>
      </c>
      <c r="K10" t="str">
        <f>IFERROR(INDEX(financial!$A$2:$E$41, MATCH($A10,financial!$A$2:$A$41,0), MATCH(K$1,financial!$A$1:$E$1,0)),"NOT AVAILABLE")</f>
        <v>INR</v>
      </c>
      <c r="L10" s="5">
        <f t="shared" si="0"/>
        <v>390</v>
      </c>
      <c r="M10" s="5">
        <f t="shared" si="1"/>
        <v>1360</v>
      </c>
      <c r="N10" t="s">
        <v>77</v>
      </c>
    </row>
    <row r="11" spans="1:15" x14ac:dyDescent="0.3">
      <c r="A11">
        <v>110</v>
      </c>
      <c r="B11" t="s">
        <v>61</v>
      </c>
      <c r="C11" t="s">
        <v>0</v>
      </c>
      <c r="D11">
        <v>2015</v>
      </c>
      <c r="E11">
        <v>7.2</v>
      </c>
      <c r="F11" t="s">
        <v>27</v>
      </c>
      <c r="G11">
        <v>1</v>
      </c>
      <c r="H11" s="5">
        <f>IFERROR(INDEX(financial!$A$2:$E$41, MATCH($A11,financial!$A$2:$A$41,0), MATCH(H$1,financial!$A$1:$E$1,0)),"NOT AVAILABLE")</f>
        <v>1.4</v>
      </c>
      <c r="I11">
        <f>IFERROR(INDEX(financial!$A$2:$E$41, MATCH($A11,financial!$A$2:$A$41,0), MATCH(I$1,financial!$A$1:$E$1,0)),"NOT AVAILABLE")</f>
        <v>3.5</v>
      </c>
      <c r="J11" t="str">
        <f>IFERROR(INDEX(financial!$A$2:$E$41, MATCH($A11,financial!$A$2:$A$41,0), MATCH(J$1,financial!$A$1:$E$1,0)),"NOT AVAILABLE")</f>
        <v>Billions</v>
      </c>
      <c r="K11" t="str">
        <f>IFERROR(INDEX(financial!$A$2:$E$41, MATCH($A11,financial!$A$2:$A$41,0), MATCH(K$1,financial!$A$1:$E$1,0)),"NOT AVAILABLE")</f>
        <v>INR</v>
      </c>
      <c r="L11" s="5">
        <f t="shared" si="0"/>
        <v>1400</v>
      </c>
      <c r="M11" s="5">
        <f t="shared" si="1"/>
        <v>3500</v>
      </c>
      <c r="N11" t="s">
        <v>77</v>
      </c>
    </row>
    <row r="12" spans="1:15" x14ac:dyDescent="0.3">
      <c r="A12">
        <v>111</v>
      </c>
      <c r="B12" t="s">
        <v>62</v>
      </c>
      <c r="C12" t="s">
        <v>1</v>
      </c>
      <c r="D12">
        <v>1994</v>
      </c>
      <c r="E12">
        <v>9.3000000000000007</v>
      </c>
      <c r="F12" t="s">
        <v>6</v>
      </c>
      <c r="G12">
        <v>5</v>
      </c>
      <c r="H12" s="5">
        <f>IFERROR(INDEX(financial!$A$2:$E$41, MATCH($A12,financial!$A$2:$A$41,0), MATCH(H$1,financial!$A$1:$E$1,0)),"NOT AVAILABLE")</f>
        <v>25</v>
      </c>
      <c r="I12">
        <f>IFERROR(INDEX(financial!$A$2:$E$41, MATCH($A12,financial!$A$2:$A$41,0), MATCH(I$1,financial!$A$1:$E$1,0)),"NOT AVAILABLE")</f>
        <v>73.3</v>
      </c>
      <c r="J12" t="str">
        <f>IFERROR(INDEX(financial!$A$2:$E$41, MATCH($A12,financial!$A$2:$A$41,0), MATCH(J$1,financial!$A$1:$E$1,0)),"NOT AVAILABLE")</f>
        <v>Millions</v>
      </c>
      <c r="K12" t="str">
        <f>IFERROR(INDEX(financial!$A$2:$E$41, MATCH($A12,financial!$A$2:$A$41,0), MATCH(K$1,financial!$A$1:$E$1,0)),"NOT AVAILABLE")</f>
        <v>USD</v>
      </c>
      <c r="L12" s="5">
        <f t="shared" si="0"/>
        <v>25</v>
      </c>
      <c r="M12" s="5">
        <f t="shared" si="1"/>
        <v>73.3</v>
      </c>
      <c r="N12" t="s">
        <v>77</v>
      </c>
    </row>
    <row r="13" spans="1:15" x14ac:dyDescent="0.3">
      <c r="A13">
        <v>112</v>
      </c>
      <c r="B13" t="s">
        <v>34</v>
      </c>
      <c r="C13" t="s">
        <v>1</v>
      </c>
      <c r="D13">
        <v>2010</v>
      </c>
      <c r="E13">
        <v>8.8000000000000007</v>
      </c>
      <c r="F13" t="s">
        <v>7</v>
      </c>
      <c r="G13">
        <v>5</v>
      </c>
      <c r="H13" s="5">
        <v>160</v>
      </c>
      <c r="I13">
        <v>839</v>
      </c>
      <c r="J13" t="s">
        <v>78</v>
      </c>
      <c r="K13" t="s">
        <v>79</v>
      </c>
      <c r="L13" s="5">
        <f t="shared" si="0"/>
        <v>160</v>
      </c>
      <c r="M13" s="5">
        <f t="shared" si="1"/>
        <v>839</v>
      </c>
      <c r="N13" t="s">
        <v>77</v>
      </c>
    </row>
    <row r="14" spans="1:15" x14ac:dyDescent="0.3">
      <c r="A14">
        <v>113</v>
      </c>
      <c r="B14" t="s">
        <v>35</v>
      </c>
      <c r="C14" t="s">
        <v>1</v>
      </c>
      <c r="D14">
        <v>2014</v>
      </c>
      <c r="E14">
        <v>8.6</v>
      </c>
      <c r="F14" t="s">
        <v>7</v>
      </c>
      <c r="G14">
        <v>5</v>
      </c>
      <c r="H14" s="5">
        <f>IFERROR(INDEX(financial!$A$2:$E$41, MATCH($A14,financial!$A$2:$A$41,0), MATCH(H$1,financial!$A$1:$E$1,0)),"NOT AVAILABLE")</f>
        <v>165</v>
      </c>
      <c r="I14">
        <f>IFERROR(INDEX(financial!$A$2:$E$41, MATCH($A14,financial!$A$2:$A$41,0), MATCH(I$1,financial!$A$1:$E$1,0)),"NOT AVAILABLE")</f>
        <v>701.8</v>
      </c>
      <c r="J14" t="str">
        <f>IFERROR(INDEX(financial!$A$2:$E$41, MATCH($A14,financial!$A$2:$A$41,0), MATCH(J$1,financial!$A$1:$E$1,0)),"NOT AVAILABLE")</f>
        <v>Millions</v>
      </c>
      <c r="K14" t="str">
        <f>IFERROR(INDEX(financial!$A$2:$E$41, MATCH($A14,financial!$A$2:$A$41,0), MATCH(K$1,financial!$A$1:$E$1,0)),"NOT AVAILABLE")</f>
        <v>USD</v>
      </c>
      <c r="L14" s="5">
        <f t="shared" si="0"/>
        <v>165</v>
      </c>
      <c r="M14" s="5">
        <f t="shared" si="1"/>
        <v>701.8</v>
      </c>
      <c r="N14" t="s">
        <v>77</v>
      </c>
    </row>
    <row r="15" spans="1:15" x14ac:dyDescent="0.3">
      <c r="A15">
        <v>115</v>
      </c>
      <c r="B15" t="s">
        <v>36</v>
      </c>
      <c r="C15" t="s">
        <v>1</v>
      </c>
      <c r="D15">
        <v>2006</v>
      </c>
      <c r="E15">
        <v>8</v>
      </c>
      <c r="F15" t="s">
        <v>8</v>
      </c>
      <c r="G15">
        <v>5</v>
      </c>
      <c r="H15" s="5">
        <f>IFERROR(INDEX(financial!$A$2:$E$41, MATCH($A15,financial!$A$2:$A$41,0), MATCH(H$1,financial!$A$1:$E$1,0)),"NOT AVAILABLE")</f>
        <v>55</v>
      </c>
      <c r="I15">
        <f>IFERROR(INDEX(financial!$A$2:$E$41, MATCH($A15,financial!$A$2:$A$41,0), MATCH(I$1,financial!$A$1:$E$1,0)),"NOT AVAILABLE")</f>
        <v>307.10000000000002</v>
      </c>
      <c r="J15" t="str">
        <f>IFERROR(INDEX(financial!$A$2:$E$41, MATCH($A15,financial!$A$2:$A$41,0), MATCH(J$1,financial!$A$1:$E$1,0)),"NOT AVAILABLE")</f>
        <v>Millions</v>
      </c>
      <c r="K15" t="str">
        <f>IFERROR(INDEX(financial!$A$2:$E$41, MATCH($A15,financial!$A$2:$A$41,0), MATCH(K$1,financial!$A$1:$E$1,0)),"NOT AVAILABLE")</f>
        <v>USD</v>
      </c>
      <c r="L15" s="5">
        <f t="shared" si="0"/>
        <v>55</v>
      </c>
      <c r="M15" s="5">
        <f t="shared" si="1"/>
        <v>307.10000000000002</v>
      </c>
      <c r="N15" t="s">
        <v>77</v>
      </c>
    </row>
    <row r="16" spans="1:15" x14ac:dyDescent="0.3">
      <c r="A16">
        <v>116</v>
      </c>
      <c r="B16" t="s">
        <v>37</v>
      </c>
      <c r="C16" t="s">
        <v>1</v>
      </c>
      <c r="D16">
        <v>2000</v>
      </c>
      <c r="E16">
        <v>8.5</v>
      </c>
      <c r="F16" t="s">
        <v>13</v>
      </c>
      <c r="G16">
        <v>5</v>
      </c>
      <c r="H16" s="5">
        <f>IFERROR(INDEX(financial!$A$2:$E$41, MATCH($A16,financial!$A$2:$A$41,0), MATCH(H$1,financial!$A$1:$E$1,0)),"NOT AVAILABLE")</f>
        <v>103</v>
      </c>
      <c r="I16">
        <f>IFERROR(INDEX(financial!$A$2:$E$41, MATCH($A16,financial!$A$2:$A$41,0), MATCH(I$1,financial!$A$1:$E$1,0)),"NOT AVAILABLE")</f>
        <v>460.5</v>
      </c>
      <c r="J16" t="str">
        <f>IFERROR(INDEX(financial!$A$2:$E$41, MATCH($A16,financial!$A$2:$A$41,0), MATCH(J$1,financial!$A$1:$E$1,0)),"NOT AVAILABLE")</f>
        <v>Millions</v>
      </c>
      <c r="K16" t="str">
        <f>IFERROR(INDEX(financial!$A$2:$E$41, MATCH($A16,financial!$A$2:$A$41,0), MATCH(K$1,financial!$A$1:$E$1,0)),"NOT AVAILABLE")</f>
        <v>USD</v>
      </c>
      <c r="L16" s="5">
        <f t="shared" si="0"/>
        <v>103</v>
      </c>
      <c r="M16" s="5">
        <f t="shared" si="1"/>
        <v>460.5</v>
      </c>
      <c r="N16" t="s">
        <v>77</v>
      </c>
    </row>
    <row r="17" spans="1:14" x14ac:dyDescent="0.3">
      <c r="A17">
        <v>117</v>
      </c>
      <c r="B17" t="s">
        <v>38</v>
      </c>
      <c r="C17" t="s">
        <v>1</v>
      </c>
      <c r="D17">
        <v>1997</v>
      </c>
      <c r="E17">
        <v>7.9</v>
      </c>
      <c r="F17" t="s">
        <v>9</v>
      </c>
      <c r="G17">
        <v>5</v>
      </c>
      <c r="H17" s="5">
        <f>IFERROR(INDEX(financial!$A$2:$E$41, MATCH($A17,financial!$A$2:$A$41,0), MATCH(H$1,financial!$A$1:$E$1,0)),"NOT AVAILABLE")</f>
        <v>200</v>
      </c>
      <c r="I17">
        <f>IFERROR(INDEX(financial!$A$2:$E$41, MATCH($A17,financial!$A$2:$A$41,0), MATCH(I$1,financial!$A$1:$E$1,0)),"NOT AVAILABLE")</f>
        <v>2202</v>
      </c>
      <c r="J17" t="str">
        <f>IFERROR(INDEX(financial!$A$2:$E$41, MATCH($A17,financial!$A$2:$A$41,0), MATCH(J$1,financial!$A$1:$E$1,0)),"NOT AVAILABLE")</f>
        <v>Millions</v>
      </c>
      <c r="K17" t="str">
        <f>IFERROR(INDEX(financial!$A$2:$E$41, MATCH($A17,financial!$A$2:$A$41,0), MATCH(K$1,financial!$A$1:$E$1,0)),"NOT AVAILABLE")</f>
        <v>USD</v>
      </c>
      <c r="L17" s="5">
        <f t="shared" si="0"/>
        <v>200</v>
      </c>
      <c r="M17" s="5">
        <f t="shared" si="1"/>
        <v>2202</v>
      </c>
      <c r="N17" t="s">
        <v>77</v>
      </c>
    </row>
    <row r="18" spans="1:14" x14ac:dyDescent="0.3">
      <c r="A18">
        <v>118</v>
      </c>
      <c r="B18" t="s">
        <v>39</v>
      </c>
      <c r="C18" t="s">
        <v>1</v>
      </c>
      <c r="D18">
        <v>1946</v>
      </c>
      <c r="E18">
        <v>8.6</v>
      </c>
      <c r="F18" t="s">
        <v>10</v>
      </c>
      <c r="G18">
        <v>5</v>
      </c>
      <c r="H18" s="5">
        <f>IFERROR(INDEX(financial!$A$2:$E$41, MATCH($A18,financial!$A$2:$A$41,0), MATCH(H$1,financial!$A$1:$E$1,0)),"NOT AVAILABLE")</f>
        <v>3.18</v>
      </c>
      <c r="I18">
        <f>IFERROR(INDEX(financial!$A$2:$E$41, MATCH($A18,financial!$A$2:$A$41,0), MATCH(I$1,financial!$A$1:$E$1,0)),"NOT AVAILABLE")</f>
        <v>3.3</v>
      </c>
      <c r="J18" t="str">
        <f>IFERROR(INDEX(financial!$A$2:$E$41, MATCH($A18,financial!$A$2:$A$41,0), MATCH(J$1,financial!$A$1:$E$1,0)),"NOT AVAILABLE")</f>
        <v>Millions</v>
      </c>
      <c r="K18" t="str">
        <f>IFERROR(INDEX(financial!$A$2:$E$41, MATCH($A18,financial!$A$2:$A$41,0), MATCH(K$1,financial!$A$1:$E$1,0)),"NOT AVAILABLE")</f>
        <v>USD</v>
      </c>
      <c r="L18" s="5">
        <f t="shared" si="0"/>
        <v>3.18</v>
      </c>
      <c r="M18" s="5">
        <f t="shared" si="1"/>
        <v>3.3</v>
      </c>
      <c r="N18" t="s">
        <v>77</v>
      </c>
    </row>
    <row r="19" spans="1:14" x14ac:dyDescent="0.3">
      <c r="A19">
        <v>119</v>
      </c>
      <c r="B19" t="s">
        <v>40</v>
      </c>
      <c r="C19" t="s">
        <v>1</v>
      </c>
      <c r="D19">
        <v>2009</v>
      </c>
      <c r="E19">
        <v>7.8</v>
      </c>
      <c r="F19" t="s">
        <v>11</v>
      </c>
      <c r="G19">
        <v>5</v>
      </c>
      <c r="H19" s="5">
        <f>IFERROR(INDEX(financial!$A$2:$E$41, MATCH($A19,financial!$A$2:$A$41,0), MATCH(H$1,financial!$A$1:$E$1,0)),"NOT AVAILABLE")</f>
        <v>237</v>
      </c>
      <c r="I19">
        <f>IFERROR(INDEX(financial!$A$2:$E$41, MATCH($A19,financial!$A$2:$A$41,0), MATCH(I$1,financial!$A$1:$E$1,0)),"NOT AVAILABLE")</f>
        <v>2847</v>
      </c>
      <c r="J19" t="str">
        <f>IFERROR(INDEX(financial!$A$2:$E$41, MATCH($A19,financial!$A$2:$A$41,0), MATCH(J$1,financial!$A$1:$E$1,0)),"NOT AVAILABLE")</f>
        <v>Millions</v>
      </c>
      <c r="K19" t="str">
        <f>IFERROR(INDEX(financial!$A$2:$E$41, MATCH($A19,financial!$A$2:$A$41,0), MATCH(K$1,financial!$A$1:$E$1,0)),"NOT AVAILABLE")</f>
        <v>USD</v>
      </c>
      <c r="L19" s="5">
        <f t="shared" si="0"/>
        <v>237</v>
      </c>
      <c r="M19" s="5">
        <f t="shared" si="1"/>
        <v>2847</v>
      </c>
      <c r="N19" t="s">
        <v>77</v>
      </c>
    </row>
    <row r="20" spans="1:14" x14ac:dyDescent="0.3">
      <c r="A20">
        <v>120</v>
      </c>
      <c r="B20" t="s">
        <v>41</v>
      </c>
      <c r="C20" t="s">
        <v>1</v>
      </c>
      <c r="D20">
        <v>1972</v>
      </c>
      <c r="E20">
        <v>9.1999999999999993</v>
      </c>
      <c r="F20" t="s">
        <v>9</v>
      </c>
      <c r="G20">
        <v>5</v>
      </c>
      <c r="H20" s="5">
        <f>IFERROR(INDEX(financial!$A$2:$E$41, MATCH($A20,financial!$A$2:$A$41,0), MATCH(H$1,financial!$A$1:$E$1,0)),"NOT AVAILABLE")</f>
        <v>7.2</v>
      </c>
      <c r="I20">
        <f>IFERROR(INDEX(financial!$A$2:$E$41, MATCH($A20,financial!$A$2:$A$41,0), MATCH(I$1,financial!$A$1:$E$1,0)),"NOT AVAILABLE")</f>
        <v>291</v>
      </c>
      <c r="J20" t="str">
        <f>IFERROR(INDEX(financial!$A$2:$E$41, MATCH($A20,financial!$A$2:$A$41,0), MATCH(J$1,financial!$A$1:$E$1,0)),"NOT AVAILABLE")</f>
        <v>Millions</v>
      </c>
      <c r="K20" t="str">
        <f>IFERROR(INDEX(financial!$A$2:$E$41, MATCH($A20,financial!$A$2:$A$41,0), MATCH(K$1,financial!$A$1:$E$1,0)),"NOT AVAILABLE")</f>
        <v>USD</v>
      </c>
      <c r="L20" s="5">
        <f t="shared" si="0"/>
        <v>7.2</v>
      </c>
      <c r="M20" s="5">
        <f t="shared" si="1"/>
        <v>291</v>
      </c>
      <c r="N20" t="s">
        <v>77</v>
      </c>
    </row>
    <row r="21" spans="1:14" x14ac:dyDescent="0.3">
      <c r="A21">
        <v>121</v>
      </c>
      <c r="B21" t="s">
        <v>42</v>
      </c>
      <c r="C21" t="s">
        <v>1</v>
      </c>
      <c r="D21">
        <v>2008</v>
      </c>
      <c r="E21">
        <v>9</v>
      </c>
      <c r="F21" t="s">
        <v>12</v>
      </c>
      <c r="G21">
        <v>5</v>
      </c>
      <c r="H21" s="5">
        <f>IFERROR(INDEX(financial!$A$2:$E$41, MATCH($A21,financial!$A$2:$A$41,0), MATCH(H$1,financial!$A$1:$E$1,0)),"NOT AVAILABLE")</f>
        <v>185</v>
      </c>
      <c r="I21">
        <f>IFERROR(INDEX(financial!$A$2:$E$41, MATCH($A21,financial!$A$2:$A$41,0), MATCH(I$1,financial!$A$1:$E$1,0)),"NOT AVAILABLE")</f>
        <v>1006</v>
      </c>
      <c r="J21" t="str">
        <f>IFERROR(INDEX(financial!$A$2:$E$41, MATCH($A21,financial!$A$2:$A$41,0), MATCH(J$1,financial!$A$1:$E$1,0)),"NOT AVAILABLE")</f>
        <v>Millions</v>
      </c>
      <c r="K21" t="str">
        <f>IFERROR(INDEX(financial!$A$2:$E$41, MATCH($A21,financial!$A$2:$A$41,0), MATCH(K$1,financial!$A$1:$E$1,0)),"NOT AVAILABLE")</f>
        <v>USD</v>
      </c>
      <c r="L21" s="5">
        <f t="shared" si="0"/>
        <v>185</v>
      </c>
      <c r="M21" s="5">
        <f t="shared" si="1"/>
        <v>1006</v>
      </c>
      <c r="N21" t="s">
        <v>77</v>
      </c>
    </row>
    <row r="22" spans="1:14" x14ac:dyDescent="0.3">
      <c r="A22">
        <v>122</v>
      </c>
      <c r="B22" t="s">
        <v>43</v>
      </c>
      <c r="C22" t="s">
        <v>1</v>
      </c>
      <c r="D22">
        <v>1993</v>
      </c>
      <c r="E22">
        <v>9</v>
      </c>
      <c r="F22" t="s">
        <v>13</v>
      </c>
      <c r="G22">
        <v>5</v>
      </c>
      <c r="H22" s="5">
        <f>IFERROR(INDEX(financial!$A$2:$E$41, MATCH($A22,financial!$A$2:$A$41,0), MATCH(H$1,financial!$A$1:$E$1,0)),"NOT AVAILABLE")</f>
        <v>22</v>
      </c>
      <c r="I22">
        <f>IFERROR(INDEX(financial!$A$2:$E$41, MATCH($A22,financial!$A$2:$A$41,0), MATCH(I$1,financial!$A$1:$E$1,0)),"NOT AVAILABLE")</f>
        <v>322.2</v>
      </c>
      <c r="J22" t="str">
        <f>IFERROR(INDEX(financial!$A$2:$E$41, MATCH($A22,financial!$A$2:$A$41,0), MATCH(J$1,financial!$A$1:$E$1,0)),"NOT AVAILABLE")</f>
        <v>Millions</v>
      </c>
      <c r="K22" t="str">
        <f>IFERROR(INDEX(financial!$A$2:$E$41, MATCH($A22,financial!$A$2:$A$41,0), MATCH(K$1,financial!$A$1:$E$1,0)),"NOT AVAILABLE")</f>
        <v>USD</v>
      </c>
      <c r="L22" s="5">
        <f t="shared" si="0"/>
        <v>22</v>
      </c>
      <c r="M22" s="5">
        <f t="shared" si="1"/>
        <v>322.2</v>
      </c>
      <c r="N22" t="s">
        <v>77</v>
      </c>
    </row>
    <row r="23" spans="1:14" x14ac:dyDescent="0.3">
      <c r="A23">
        <v>123</v>
      </c>
      <c r="B23" t="s">
        <v>44</v>
      </c>
      <c r="C23" t="s">
        <v>1</v>
      </c>
      <c r="D23">
        <v>1993</v>
      </c>
      <c r="E23">
        <v>8.1999999999999993</v>
      </c>
      <c r="F23" t="s">
        <v>13</v>
      </c>
      <c r="G23">
        <v>5</v>
      </c>
      <c r="H23" s="5">
        <f>IFERROR(INDEX(financial!$A$2:$E$41, MATCH($A23,financial!$A$2:$A$41,0), MATCH(H$1,financial!$A$1:$E$1,0)),"NOT AVAILABLE")</f>
        <v>63</v>
      </c>
      <c r="I23">
        <f>IFERROR(INDEX(financial!$A$2:$E$41, MATCH($A23,financial!$A$2:$A$41,0), MATCH(I$1,financial!$A$1:$E$1,0)),"NOT AVAILABLE")</f>
        <v>1046</v>
      </c>
      <c r="J23" t="str">
        <f>IFERROR(INDEX(financial!$A$2:$E$41, MATCH($A23,financial!$A$2:$A$41,0), MATCH(J$1,financial!$A$1:$E$1,0)),"NOT AVAILABLE")</f>
        <v>Millions</v>
      </c>
      <c r="K23" t="str">
        <f>IFERROR(INDEX(financial!$A$2:$E$41, MATCH($A23,financial!$A$2:$A$41,0), MATCH(K$1,financial!$A$1:$E$1,0)),"NOT AVAILABLE")</f>
        <v>USD</v>
      </c>
      <c r="L23" s="5">
        <f t="shared" si="0"/>
        <v>63</v>
      </c>
      <c r="M23" s="5">
        <f t="shared" si="1"/>
        <v>1046</v>
      </c>
      <c r="N23" t="s">
        <v>77</v>
      </c>
    </row>
    <row r="24" spans="1:14" x14ac:dyDescent="0.3">
      <c r="A24">
        <v>124</v>
      </c>
      <c r="B24" t="s">
        <v>45</v>
      </c>
      <c r="C24" t="s">
        <v>1</v>
      </c>
      <c r="D24">
        <v>2019</v>
      </c>
      <c r="E24">
        <v>8.5</v>
      </c>
      <c r="F24" t="s">
        <v>27</v>
      </c>
      <c r="G24">
        <v>5</v>
      </c>
      <c r="H24" s="5">
        <f>IFERROR(INDEX(financial!$A$2:$E$41, MATCH($A24,financial!$A$2:$A$41,0), MATCH(H$1,financial!$A$1:$E$1,0)),"NOT AVAILABLE")</f>
        <v>15.5</v>
      </c>
      <c r="I24">
        <f>IFERROR(INDEX(financial!$A$2:$E$41, MATCH($A24,financial!$A$2:$A$41,0), MATCH(I$1,financial!$A$1:$E$1,0)),"NOT AVAILABLE")</f>
        <v>263.10000000000002</v>
      </c>
      <c r="J24" t="str">
        <f>IFERROR(INDEX(financial!$A$2:$E$41, MATCH($A24,financial!$A$2:$A$41,0), MATCH(J$1,financial!$A$1:$E$1,0)),"NOT AVAILABLE")</f>
        <v>Millions</v>
      </c>
      <c r="K24" t="str">
        <f>IFERROR(INDEX(financial!$A$2:$E$41, MATCH($A24,financial!$A$2:$A$41,0), MATCH(K$1,financial!$A$1:$E$1,0)),"NOT AVAILABLE")</f>
        <v>USD</v>
      </c>
      <c r="L24" s="5">
        <f t="shared" si="0"/>
        <v>15.5</v>
      </c>
      <c r="M24" s="5">
        <f t="shared" si="1"/>
        <v>263.10000000000002</v>
      </c>
      <c r="N24" t="s">
        <v>77</v>
      </c>
    </row>
    <row r="25" spans="1:14" x14ac:dyDescent="0.3">
      <c r="A25">
        <v>125</v>
      </c>
      <c r="B25" t="s">
        <v>63</v>
      </c>
      <c r="C25" t="s">
        <v>1</v>
      </c>
      <c r="D25">
        <v>2019</v>
      </c>
      <c r="E25">
        <v>8.4</v>
      </c>
      <c r="F25" t="s">
        <v>2</v>
      </c>
      <c r="G25">
        <v>5</v>
      </c>
      <c r="H25" s="5">
        <f>IFERROR(INDEX(financial!$A$2:$E$41, MATCH($A25,financial!$A$2:$A$41,0), MATCH(H$1,financial!$A$1:$E$1,0)),"NOT AVAILABLE")</f>
        <v>400</v>
      </c>
      <c r="I25">
        <f>IFERROR(INDEX(financial!$A$2:$E$41, MATCH($A25,financial!$A$2:$A$41,0), MATCH(I$1,financial!$A$1:$E$1,0)),"NOT AVAILABLE")</f>
        <v>2798</v>
      </c>
      <c r="J25" t="str">
        <f>IFERROR(INDEX(financial!$A$2:$E$41, MATCH($A25,financial!$A$2:$A$41,0), MATCH(J$1,financial!$A$1:$E$1,0)),"NOT AVAILABLE")</f>
        <v>Millions</v>
      </c>
      <c r="K25" t="str">
        <f>IFERROR(INDEX(financial!$A$2:$E$41, MATCH($A25,financial!$A$2:$A$41,0), MATCH(K$1,financial!$A$1:$E$1,0)),"NOT AVAILABLE")</f>
        <v>USD</v>
      </c>
      <c r="L25" s="5">
        <f t="shared" si="0"/>
        <v>400</v>
      </c>
      <c r="M25" s="5">
        <f t="shared" si="1"/>
        <v>2798</v>
      </c>
      <c r="N25" t="s">
        <v>77</v>
      </c>
    </row>
    <row r="26" spans="1:14" x14ac:dyDescent="0.3">
      <c r="A26">
        <v>126</v>
      </c>
      <c r="B26" t="s">
        <v>64</v>
      </c>
      <c r="C26" t="s">
        <v>1</v>
      </c>
      <c r="D26">
        <v>2018</v>
      </c>
      <c r="E26">
        <v>8.4</v>
      </c>
      <c r="F26" t="s">
        <v>2</v>
      </c>
      <c r="G26">
        <v>5</v>
      </c>
      <c r="H26" s="5">
        <f>IFERROR(INDEX(financial!$A$2:$E$41, MATCH($A26,financial!$A$2:$A$41,0), MATCH(H$1,financial!$A$1:$E$1,0)),"NOT AVAILABLE")</f>
        <v>400</v>
      </c>
      <c r="I26">
        <f>IFERROR(INDEX(financial!$A$2:$E$41, MATCH($A26,financial!$A$2:$A$41,0), MATCH(I$1,financial!$A$1:$E$1,0)),"NOT AVAILABLE")</f>
        <v>2048</v>
      </c>
      <c r="J26" t="str">
        <f>IFERROR(INDEX(financial!$A$2:$E$41, MATCH($A26,financial!$A$2:$A$41,0), MATCH(J$1,financial!$A$1:$E$1,0)),"NOT AVAILABLE")</f>
        <v>Millions</v>
      </c>
      <c r="K26" t="str">
        <f>IFERROR(INDEX(financial!$A$2:$E$41, MATCH($A26,financial!$A$2:$A$41,0), MATCH(K$1,financial!$A$1:$E$1,0)),"NOT AVAILABLE")</f>
        <v>USD</v>
      </c>
      <c r="L26" s="5">
        <f t="shared" si="0"/>
        <v>400</v>
      </c>
      <c r="M26" s="5">
        <f t="shared" si="1"/>
        <v>2048</v>
      </c>
      <c r="N26" t="s">
        <v>77</v>
      </c>
    </row>
    <row r="27" spans="1:14" x14ac:dyDescent="0.3">
      <c r="A27">
        <v>127</v>
      </c>
      <c r="B27" t="s">
        <v>46</v>
      </c>
      <c r="C27" t="s">
        <v>0</v>
      </c>
      <c r="D27">
        <v>1955</v>
      </c>
      <c r="E27">
        <v>8.3000000000000007</v>
      </c>
      <c r="F27" t="s">
        <v>29</v>
      </c>
      <c r="G27">
        <v>7</v>
      </c>
      <c r="H27" s="5">
        <f>IFERROR(INDEX(financial!$A$2:$E$41, MATCH($A27,financial!$A$2:$A$41,0), MATCH(H$1,financial!$A$1:$E$1,0)),"NOT AVAILABLE")</f>
        <v>70</v>
      </c>
      <c r="I27">
        <f>IFERROR(INDEX(financial!$A$2:$E$41, MATCH($A27,financial!$A$2:$A$41,0), MATCH(I$1,financial!$A$1:$E$1,0)),"NOT AVAILABLE")</f>
        <v>100</v>
      </c>
      <c r="J27" t="str">
        <f>IFERROR(INDEX(financial!$A$2:$E$41, MATCH($A27,financial!$A$2:$A$41,0), MATCH(J$1,financial!$A$1:$E$1,0)),"NOT AVAILABLE")</f>
        <v>Millions</v>
      </c>
      <c r="K27" t="str">
        <f>IFERROR(INDEX(financial!$A$2:$E$41, MATCH($A27,financial!$A$2:$A$41,0), MATCH(K$1,financial!$A$1:$E$1,0)),"NOT AVAILABLE")</f>
        <v>INR</v>
      </c>
      <c r="L27" s="5">
        <f t="shared" si="0"/>
        <v>70</v>
      </c>
      <c r="M27" s="5">
        <f t="shared" si="1"/>
        <v>100</v>
      </c>
      <c r="N27" t="s">
        <v>77</v>
      </c>
    </row>
    <row r="28" spans="1:14" x14ac:dyDescent="0.3">
      <c r="A28">
        <v>128</v>
      </c>
      <c r="B28" t="s">
        <v>47</v>
      </c>
      <c r="C28" t="s">
        <v>0</v>
      </c>
      <c r="D28">
        <v>2007</v>
      </c>
      <c r="E28">
        <v>8.3000000000000007</v>
      </c>
      <c r="F28" t="s">
        <v>27</v>
      </c>
      <c r="G28">
        <v>1</v>
      </c>
      <c r="H28" s="5">
        <f>IFERROR(INDEX(financial!$A$2:$E$41, MATCH($A28,financial!$A$2:$A$41,0), MATCH(H$1,financial!$A$1:$E$1,0)),"NOT AVAILABLE")</f>
        <v>120</v>
      </c>
      <c r="I28">
        <f>IFERROR(INDEX(financial!$A$2:$E$41, MATCH($A28,financial!$A$2:$A$41,0), MATCH(I$1,financial!$A$1:$E$1,0)),"NOT AVAILABLE")</f>
        <v>1350</v>
      </c>
      <c r="J28" t="str">
        <f>IFERROR(INDEX(financial!$A$2:$E$41, MATCH($A28,financial!$A$2:$A$41,0), MATCH(J$1,financial!$A$1:$E$1,0)),"NOT AVAILABLE")</f>
        <v>Millions</v>
      </c>
      <c r="K28" t="str">
        <f>IFERROR(INDEX(financial!$A$2:$E$41, MATCH($A28,financial!$A$2:$A$41,0), MATCH(K$1,financial!$A$1:$E$1,0)),"NOT AVAILABLE")</f>
        <v>INR</v>
      </c>
      <c r="L28" s="5">
        <f t="shared" si="0"/>
        <v>120</v>
      </c>
      <c r="M28" s="5">
        <f t="shared" si="1"/>
        <v>1350</v>
      </c>
      <c r="N28" t="s">
        <v>77</v>
      </c>
    </row>
    <row r="29" spans="1:14" x14ac:dyDescent="0.3">
      <c r="A29">
        <v>129</v>
      </c>
      <c r="B29" t="s">
        <v>48</v>
      </c>
      <c r="C29" t="s">
        <v>0</v>
      </c>
      <c r="D29">
        <v>2003</v>
      </c>
      <c r="E29">
        <v>8.1</v>
      </c>
      <c r="F29" t="s">
        <v>14</v>
      </c>
      <c r="G29">
        <v>1</v>
      </c>
      <c r="H29" s="5">
        <f>IFERROR(INDEX(financial!$A$2:$E$41, MATCH($A29,financial!$A$2:$A$41,0), MATCH(H$1,financial!$A$1:$E$1,0)),"NOT AVAILABLE")</f>
        <v>100</v>
      </c>
      <c r="I29">
        <f>IFERROR(INDEX(financial!$A$2:$E$41, MATCH($A29,financial!$A$2:$A$41,0), MATCH(I$1,financial!$A$1:$E$1,0)),"NOT AVAILABLE")</f>
        <v>410</v>
      </c>
      <c r="J29" t="str">
        <f>IFERROR(INDEX(financial!$A$2:$E$41, MATCH($A29,financial!$A$2:$A$41,0), MATCH(J$1,financial!$A$1:$E$1,0)),"NOT AVAILABLE")</f>
        <v>Millions</v>
      </c>
      <c r="K29" t="str">
        <f>IFERROR(INDEX(financial!$A$2:$E$41, MATCH($A29,financial!$A$2:$A$41,0), MATCH(K$1,financial!$A$1:$E$1,0)),"NOT AVAILABLE")</f>
        <v>INR</v>
      </c>
      <c r="L29" s="5">
        <f t="shared" si="0"/>
        <v>100</v>
      </c>
      <c r="M29" s="5">
        <f t="shared" si="1"/>
        <v>410</v>
      </c>
      <c r="N29" t="s">
        <v>77</v>
      </c>
    </row>
    <row r="30" spans="1:14" x14ac:dyDescent="0.3">
      <c r="A30">
        <v>130</v>
      </c>
      <c r="B30" t="s">
        <v>49</v>
      </c>
      <c r="C30" t="s">
        <v>0</v>
      </c>
      <c r="D30">
        <v>2014</v>
      </c>
      <c r="E30">
        <v>8.1</v>
      </c>
      <c r="F30" t="s">
        <v>15</v>
      </c>
      <c r="G30">
        <v>1</v>
      </c>
      <c r="H30" s="5">
        <f>IFERROR(INDEX(financial!$A$2:$E$41, MATCH($A30,financial!$A$2:$A$41,0), MATCH(H$1,financial!$A$1:$E$1,0)),"NOT AVAILABLE")</f>
        <v>850</v>
      </c>
      <c r="I30">
        <f>IFERROR(INDEX(financial!$A$2:$E$41, MATCH($A30,financial!$A$2:$A$41,0), MATCH(I$1,financial!$A$1:$E$1,0)),"NOT AVAILABLE")</f>
        <v>8540</v>
      </c>
      <c r="J30" t="str">
        <f>IFERROR(INDEX(financial!$A$2:$E$41, MATCH($A30,financial!$A$2:$A$41,0), MATCH(J$1,financial!$A$1:$E$1,0)),"NOT AVAILABLE")</f>
        <v>Millions</v>
      </c>
      <c r="K30" t="str">
        <f>IFERROR(INDEX(financial!$A$2:$E$41, MATCH($A30,financial!$A$2:$A$41,0), MATCH(K$1,financial!$A$1:$E$1,0)),"NOT AVAILABLE")</f>
        <v>INR</v>
      </c>
      <c r="L30" s="5">
        <f t="shared" si="0"/>
        <v>850</v>
      </c>
      <c r="M30" s="5">
        <f t="shared" si="1"/>
        <v>8540</v>
      </c>
      <c r="N30" t="s">
        <v>77</v>
      </c>
    </row>
    <row r="31" spans="1:14" x14ac:dyDescent="0.3">
      <c r="A31">
        <v>131</v>
      </c>
      <c r="B31" t="s">
        <v>50</v>
      </c>
      <c r="C31" t="s">
        <v>0</v>
      </c>
      <c r="D31">
        <v>2018</v>
      </c>
      <c r="E31">
        <v>7.6</v>
      </c>
      <c r="F31" t="s">
        <v>15</v>
      </c>
      <c r="G31">
        <v>1</v>
      </c>
      <c r="H31" s="5">
        <f>IFERROR(INDEX(financial!$A$2:$E$41, MATCH($A31,financial!$A$2:$A$41,0), MATCH(H$1,financial!$A$1:$E$1,0)),"NOT AVAILABLE")</f>
        <v>1</v>
      </c>
      <c r="I31">
        <f>IFERROR(INDEX(financial!$A$2:$E$41, MATCH($A31,financial!$A$2:$A$41,0), MATCH(I$1,financial!$A$1:$E$1,0)),"NOT AVAILABLE")</f>
        <v>5.9</v>
      </c>
      <c r="J31" t="str">
        <f>IFERROR(INDEX(financial!$A$2:$E$41, MATCH($A31,financial!$A$2:$A$41,0), MATCH(J$1,financial!$A$1:$E$1,0)),"NOT AVAILABLE")</f>
        <v>Billions</v>
      </c>
      <c r="K31" t="str">
        <f>IFERROR(INDEX(financial!$A$2:$E$41, MATCH($A31,financial!$A$2:$A$41,0), MATCH(K$1,financial!$A$1:$E$1,0)),"NOT AVAILABLE")</f>
        <v>INR</v>
      </c>
      <c r="L31" s="5">
        <f t="shared" si="0"/>
        <v>1000</v>
      </c>
      <c r="M31" s="5">
        <f t="shared" si="1"/>
        <v>5900</v>
      </c>
      <c r="N31" t="s">
        <v>77</v>
      </c>
    </row>
    <row r="32" spans="1:14" x14ac:dyDescent="0.3">
      <c r="A32">
        <v>132</v>
      </c>
      <c r="B32" t="s">
        <v>65</v>
      </c>
      <c r="C32" t="s">
        <v>0</v>
      </c>
      <c r="D32">
        <v>2021</v>
      </c>
      <c r="E32">
        <v>7.6</v>
      </c>
      <c r="F32" t="s">
        <v>16</v>
      </c>
      <c r="G32">
        <v>2</v>
      </c>
      <c r="H32" s="5">
        <f>IFERROR(INDEX(financial!$A$2:$E$41, MATCH($A32,financial!$A$2:$A$41,0), MATCH(H$1,financial!$A$1:$E$1,0)),"NOT AVAILABLE")</f>
        <v>2</v>
      </c>
      <c r="I32">
        <f>IFERROR(INDEX(financial!$A$2:$E$41, MATCH($A32,financial!$A$2:$A$41,0), MATCH(I$1,financial!$A$1:$E$1,0)),"NOT AVAILABLE")</f>
        <v>3.6</v>
      </c>
      <c r="J32" t="str">
        <f>IFERROR(INDEX(financial!$A$2:$E$41, MATCH($A32,financial!$A$2:$A$41,0), MATCH(J$1,financial!$A$1:$E$1,0)),"NOT AVAILABLE")</f>
        <v>Billions</v>
      </c>
      <c r="K32" t="str">
        <f>IFERROR(INDEX(financial!$A$2:$E$41, MATCH($A32,financial!$A$2:$A$41,0), MATCH(K$1,financial!$A$1:$E$1,0)),"NOT AVAILABLE")</f>
        <v>INR</v>
      </c>
      <c r="L32" s="5">
        <f t="shared" si="0"/>
        <v>2000</v>
      </c>
      <c r="M32" s="5">
        <f t="shared" si="1"/>
        <v>3600</v>
      </c>
      <c r="N32" t="s">
        <v>77</v>
      </c>
    </row>
    <row r="33" spans="1:14" x14ac:dyDescent="0.3">
      <c r="A33">
        <v>133</v>
      </c>
      <c r="B33" t="s">
        <v>51</v>
      </c>
      <c r="C33" t="s">
        <v>0</v>
      </c>
      <c r="D33">
        <v>2022</v>
      </c>
      <c r="E33">
        <v>8</v>
      </c>
      <c r="F33" t="s">
        <v>17</v>
      </c>
      <c r="G33">
        <v>2</v>
      </c>
      <c r="H33" s="5">
        <f>IFERROR(INDEX(financial!$A$2:$E$41, MATCH($A33,financial!$A$2:$A$41,0), MATCH(H$1,financial!$A$1:$E$1,0)),"NOT AVAILABLE")</f>
        <v>5.5</v>
      </c>
      <c r="I33">
        <f>IFERROR(INDEX(financial!$A$2:$E$41, MATCH($A33,financial!$A$2:$A$41,0), MATCH(I$1,financial!$A$1:$E$1,0)),"NOT AVAILABLE")</f>
        <v>12</v>
      </c>
      <c r="J33" t="str">
        <f>IFERROR(INDEX(financial!$A$2:$E$41, MATCH($A33,financial!$A$2:$A$41,0), MATCH(J$1,financial!$A$1:$E$1,0)),"NOT AVAILABLE")</f>
        <v>Billions</v>
      </c>
      <c r="K33" t="str">
        <f>IFERROR(INDEX(financial!$A$2:$E$41, MATCH($A33,financial!$A$2:$A$41,0), MATCH(K$1,financial!$A$1:$E$1,0)),"NOT AVAILABLE")</f>
        <v>INR</v>
      </c>
      <c r="L33" s="5">
        <f t="shared" si="0"/>
        <v>5500</v>
      </c>
      <c r="M33" s="5">
        <f t="shared" si="1"/>
        <v>12000</v>
      </c>
      <c r="N33" t="s">
        <v>77</v>
      </c>
    </row>
    <row r="34" spans="1:14" x14ac:dyDescent="0.3">
      <c r="A34">
        <v>134</v>
      </c>
      <c r="B34" t="s">
        <v>66</v>
      </c>
      <c r="C34" t="s">
        <v>0</v>
      </c>
      <c r="D34">
        <v>2015</v>
      </c>
      <c r="E34">
        <v>8</v>
      </c>
      <c r="F34" t="s">
        <v>18</v>
      </c>
      <c r="G34">
        <v>2</v>
      </c>
      <c r="H34" s="5">
        <f>IFERROR(INDEX(financial!$A$2:$E$41, MATCH($A34,financial!$A$2:$A$41,0), MATCH(H$1,financial!$A$1:$E$1,0)),"NOT AVAILABLE")</f>
        <v>1.8</v>
      </c>
      <c r="I34">
        <f>IFERROR(INDEX(financial!$A$2:$E$41, MATCH($A34,financial!$A$2:$A$41,0), MATCH(I$1,financial!$A$1:$E$1,0)),"NOT AVAILABLE")</f>
        <v>6.5</v>
      </c>
      <c r="J34" t="str">
        <f>IFERROR(INDEX(financial!$A$2:$E$41, MATCH($A34,financial!$A$2:$A$41,0), MATCH(J$1,financial!$A$1:$E$1,0)),"NOT AVAILABLE")</f>
        <v>Billions</v>
      </c>
      <c r="K34" t="str">
        <f>IFERROR(INDEX(financial!$A$2:$E$41, MATCH($A34,financial!$A$2:$A$41,0), MATCH(K$1,financial!$A$1:$E$1,0)),"NOT AVAILABLE")</f>
        <v>INR</v>
      </c>
      <c r="L34" s="5">
        <f t="shared" si="0"/>
        <v>1800</v>
      </c>
      <c r="M34" s="5">
        <f t="shared" si="1"/>
        <v>6500</v>
      </c>
      <c r="N34" t="s">
        <v>77</v>
      </c>
    </row>
    <row r="35" spans="1:14" x14ac:dyDescent="0.3">
      <c r="A35">
        <v>135</v>
      </c>
      <c r="B35" t="s">
        <v>52</v>
      </c>
      <c r="C35" t="s">
        <v>0</v>
      </c>
      <c r="D35">
        <v>2022</v>
      </c>
      <c r="E35">
        <v>8.3000000000000007</v>
      </c>
      <c r="F35" t="s">
        <v>19</v>
      </c>
      <c r="G35">
        <v>1</v>
      </c>
      <c r="H35" s="5">
        <f>IFERROR(INDEX(financial!$A$2:$E$41, MATCH($A35,financial!$A$2:$A$41,0), MATCH(H$1,financial!$A$1:$E$1,0)),"NOT AVAILABLE")</f>
        <v>250</v>
      </c>
      <c r="I35">
        <f>IFERROR(INDEX(financial!$A$2:$E$41, MATCH($A35,financial!$A$2:$A$41,0), MATCH(I$1,financial!$A$1:$E$1,0)),"NOT AVAILABLE")</f>
        <v>3409</v>
      </c>
      <c r="J35" t="str">
        <f>IFERROR(INDEX(financial!$A$2:$E$41, MATCH($A35,financial!$A$2:$A$41,0), MATCH(J$1,financial!$A$1:$E$1,0)),"NOT AVAILABLE")</f>
        <v>Millions</v>
      </c>
      <c r="K35" t="str">
        <f>IFERROR(INDEX(financial!$A$2:$E$41, MATCH($A35,financial!$A$2:$A$41,0), MATCH(K$1,financial!$A$1:$E$1,0)),"NOT AVAILABLE")</f>
        <v>INR</v>
      </c>
      <c r="L35" s="5">
        <f t="shared" si="0"/>
        <v>250</v>
      </c>
      <c r="M35" s="5">
        <f t="shared" si="1"/>
        <v>3409</v>
      </c>
      <c r="N35" t="s">
        <v>77</v>
      </c>
    </row>
    <row r="36" spans="1:14" x14ac:dyDescent="0.3">
      <c r="A36">
        <v>136</v>
      </c>
      <c r="B36" t="s">
        <v>53</v>
      </c>
      <c r="C36" t="s">
        <v>0</v>
      </c>
      <c r="D36">
        <v>2015</v>
      </c>
      <c r="E36">
        <v>8.1</v>
      </c>
      <c r="F36" t="s">
        <v>20</v>
      </c>
      <c r="G36">
        <v>1</v>
      </c>
      <c r="H36" s="5">
        <f>IFERROR(INDEX(financial!$A$2:$E$41, MATCH($A36,financial!$A$2:$A$41,0), MATCH(H$1,financial!$A$1:$E$1,0)),"NOT AVAILABLE")</f>
        <v>900</v>
      </c>
      <c r="I36">
        <f>IFERROR(INDEX(financial!$A$2:$E$41, MATCH($A36,financial!$A$2:$A$41,0), MATCH(I$1,financial!$A$1:$E$1,0)),"NOT AVAILABLE")</f>
        <v>11690</v>
      </c>
      <c r="J36" t="str">
        <f>IFERROR(INDEX(financial!$A$2:$E$41, MATCH($A36,financial!$A$2:$A$41,0), MATCH(J$1,financial!$A$1:$E$1,0)),"NOT AVAILABLE")</f>
        <v>Millions</v>
      </c>
      <c r="K36" t="str">
        <f>IFERROR(INDEX(financial!$A$2:$E$41, MATCH($A36,financial!$A$2:$A$41,0), MATCH(K$1,financial!$A$1:$E$1,0)),"NOT AVAILABLE")</f>
        <v>INR</v>
      </c>
      <c r="L36" s="5">
        <f t="shared" si="0"/>
        <v>900</v>
      </c>
      <c r="M36" s="5">
        <f t="shared" si="1"/>
        <v>11690</v>
      </c>
      <c r="N36" t="s">
        <v>77</v>
      </c>
    </row>
    <row r="37" spans="1:14" x14ac:dyDescent="0.3">
      <c r="A37">
        <v>137</v>
      </c>
      <c r="B37" t="s">
        <v>67</v>
      </c>
      <c r="C37" t="s">
        <v>1</v>
      </c>
      <c r="D37">
        <v>2011</v>
      </c>
      <c r="E37">
        <v>6.9</v>
      </c>
      <c r="F37" t="s">
        <v>2</v>
      </c>
      <c r="G37">
        <v>5</v>
      </c>
      <c r="H37" s="5">
        <f>IFERROR(INDEX(financial!$A$2:$E$41, MATCH($A37,financial!$A$2:$A$41,0), MATCH(H$1,financial!$A$1:$E$1,0)),"NOT AVAILABLE")</f>
        <v>216.7</v>
      </c>
      <c r="I37">
        <f>IFERROR(INDEX(financial!$A$2:$E$41, MATCH($A37,financial!$A$2:$A$41,0), MATCH(I$1,financial!$A$1:$E$1,0)),"NOT AVAILABLE")</f>
        <v>370.6</v>
      </c>
      <c r="J37" t="str">
        <f>IFERROR(INDEX(financial!$A$2:$E$41, MATCH($A37,financial!$A$2:$A$41,0), MATCH(J$1,financial!$A$1:$E$1,0)),"NOT AVAILABLE")</f>
        <v>Millions</v>
      </c>
      <c r="K37" t="str">
        <f>IFERROR(INDEX(financial!$A$2:$E$41, MATCH($A37,financial!$A$2:$A$41,0), MATCH(K$1,financial!$A$1:$E$1,0)),"NOT AVAILABLE")</f>
        <v>USD</v>
      </c>
      <c r="L37" s="5">
        <f t="shared" si="0"/>
        <v>216.7</v>
      </c>
      <c r="M37" s="5">
        <f t="shared" si="1"/>
        <v>370.6</v>
      </c>
      <c r="N37" t="s">
        <v>77</v>
      </c>
    </row>
    <row r="38" spans="1:14" x14ac:dyDescent="0.3">
      <c r="A38">
        <v>138</v>
      </c>
      <c r="B38" t="s">
        <v>68</v>
      </c>
      <c r="C38" t="s">
        <v>1</v>
      </c>
      <c r="D38">
        <v>2014</v>
      </c>
      <c r="E38">
        <v>7.8</v>
      </c>
      <c r="F38" t="s">
        <v>2</v>
      </c>
      <c r="G38">
        <v>5</v>
      </c>
      <c r="H38" s="5">
        <f>IFERROR(INDEX(financial!$A$2:$E$41, MATCH($A38,financial!$A$2:$A$41,0), MATCH(H$1,financial!$A$1:$E$1,0)),"NOT AVAILABLE")</f>
        <v>177</v>
      </c>
      <c r="I38">
        <f>IFERROR(INDEX(financial!$A$2:$E$41, MATCH($A38,financial!$A$2:$A$41,0), MATCH(I$1,financial!$A$1:$E$1,0)),"NOT AVAILABLE")</f>
        <v>714.4</v>
      </c>
      <c r="J38" t="str">
        <f>IFERROR(INDEX(financial!$A$2:$E$41, MATCH($A38,financial!$A$2:$A$41,0), MATCH(J$1,financial!$A$1:$E$1,0)),"NOT AVAILABLE")</f>
        <v>Millions</v>
      </c>
      <c r="K38" t="str">
        <f>IFERROR(INDEX(financial!$A$2:$E$41, MATCH($A38,financial!$A$2:$A$41,0), MATCH(K$1,financial!$A$1:$E$1,0)),"NOT AVAILABLE")</f>
        <v>USD</v>
      </c>
      <c r="L38" s="5">
        <f t="shared" si="0"/>
        <v>177</v>
      </c>
      <c r="M38" s="5">
        <f t="shared" si="1"/>
        <v>714.4</v>
      </c>
      <c r="N38" t="s">
        <v>77</v>
      </c>
    </row>
    <row r="39" spans="1:14" x14ac:dyDescent="0.3">
      <c r="A39">
        <v>139</v>
      </c>
      <c r="B39" t="s">
        <v>54</v>
      </c>
      <c r="C39" t="s">
        <v>0</v>
      </c>
      <c r="D39">
        <v>2018</v>
      </c>
      <c r="E39">
        <v>1.9</v>
      </c>
      <c r="F39" t="s">
        <v>20</v>
      </c>
      <c r="G39">
        <v>1</v>
      </c>
      <c r="H39" s="5">
        <f>IFERROR(INDEX(financial!$A$2:$E$41, MATCH($A39,financial!$A$2:$A$41,0), MATCH(H$1,financial!$A$1:$E$1,0)),"NOT AVAILABLE")</f>
        <v>1.8</v>
      </c>
      <c r="I39">
        <f>IFERROR(INDEX(financial!$A$2:$E$41, MATCH($A39,financial!$A$2:$A$41,0), MATCH(I$1,financial!$A$1:$E$1,0)),"NOT AVAILABLE")</f>
        <v>3.1</v>
      </c>
      <c r="J39" t="str">
        <f>IFERROR(INDEX(financial!$A$2:$E$41, MATCH($A39,financial!$A$2:$A$41,0), MATCH(J$1,financial!$A$1:$E$1,0)),"NOT AVAILABLE")</f>
        <v>Billions</v>
      </c>
      <c r="K39" t="str">
        <f>IFERROR(INDEX(financial!$A$2:$E$41, MATCH($A39,financial!$A$2:$A$41,0), MATCH(K$1,financial!$A$1:$E$1,0)),"NOT AVAILABLE")</f>
        <v>INR</v>
      </c>
      <c r="L39" s="5">
        <f t="shared" si="0"/>
        <v>1800</v>
      </c>
      <c r="M39" s="5">
        <f t="shared" si="1"/>
        <v>3100</v>
      </c>
      <c r="N39" t="s">
        <v>77</v>
      </c>
    </row>
    <row r="40" spans="1:14" x14ac:dyDescent="0.3">
      <c r="A40">
        <v>140</v>
      </c>
      <c r="B40" t="s">
        <v>55</v>
      </c>
      <c r="C40" t="s">
        <v>0</v>
      </c>
      <c r="D40">
        <v>2021</v>
      </c>
      <c r="E40">
        <v>8.4</v>
      </c>
      <c r="F40" t="s">
        <v>5</v>
      </c>
      <c r="G40">
        <v>1</v>
      </c>
      <c r="H40" s="5">
        <f>IFERROR(INDEX(financial!$A$2:$E$41, MATCH($A40,financial!$A$2:$A$41,0), MATCH(H$1,financial!$A$1:$E$1,0)),"NOT AVAILABLE")</f>
        <v>500</v>
      </c>
      <c r="I40">
        <f>IFERROR(INDEX(financial!$A$2:$E$41, MATCH($A40,financial!$A$2:$A$41,0), MATCH(I$1,financial!$A$1:$E$1,0)),"NOT AVAILABLE")</f>
        <v>950</v>
      </c>
      <c r="J40" t="str">
        <f>IFERROR(INDEX(financial!$A$2:$E$41, MATCH($A40,financial!$A$2:$A$41,0), MATCH(J$1,financial!$A$1:$E$1,0)),"NOT AVAILABLE")</f>
        <v>Millions</v>
      </c>
      <c r="K40" t="str">
        <f>IFERROR(INDEX(financial!$A$2:$E$41, MATCH($A40,financial!$A$2:$A$41,0), MATCH(K$1,financial!$A$1:$E$1,0)),"NOT AVAILABLE")</f>
        <v>INR</v>
      </c>
      <c r="L40" s="5">
        <f t="shared" si="0"/>
        <v>500</v>
      </c>
      <c r="M40" s="5">
        <f t="shared" si="1"/>
        <v>950</v>
      </c>
      <c r="N40" t="s">
        <v>77</v>
      </c>
    </row>
  </sheetData>
  <sortState xmlns:xlrd2="http://schemas.microsoft.com/office/spreadsheetml/2017/richdata2" ref="A2:G42">
    <sortCondition ref="A2:A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DCCE1-9B8E-4209-B322-F87610DBEDF6}">
  <dimension ref="A1:H41"/>
  <sheetViews>
    <sheetView workbookViewId="0">
      <selection activeCell="H7" sqref="H7"/>
    </sheetView>
  </sheetViews>
  <sheetFormatPr defaultRowHeight="14.4" x14ac:dyDescent="0.3"/>
  <sheetData>
    <row r="1" spans="1:8" x14ac:dyDescent="0.3">
      <c r="A1" s="2" t="s">
        <v>71</v>
      </c>
      <c r="B1" s="2" t="s">
        <v>72</v>
      </c>
      <c r="C1" s="2" t="s">
        <v>73</v>
      </c>
      <c r="D1" s="2" t="s">
        <v>74</v>
      </c>
      <c r="E1" s="2" t="s">
        <v>75</v>
      </c>
    </row>
    <row r="2" spans="1:8" x14ac:dyDescent="0.3">
      <c r="A2">
        <v>101</v>
      </c>
      <c r="B2">
        <v>1</v>
      </c>
      <c r="C2">
        <v>12.5</v>
      </c>
      <c r="D2" t="s">
        <v>76</v>
      </c>
      <c r="E2" t="s">
        <v>77</v>
      </c>
    </row>
    <row r="3" spans="1:8" x14ac:dyDescent="0.3">
      <c r="A3">
        <v>102</v>
      </c>
      <c r="B3">
        <v>200</v>
      </c>
      <c r="C3">
        <v>954.8</v>
      </c>
      <c r="D3" t="s">
        <v>78</v>
      </c>
      <c r="E3" t="s">
        <v>79</v>
      </c>
    </row>
    <row r="4" spans="1:8" x14ac:dyDescent="0.3">
      <c r="A4">
        <v>103</v>
      </c>
      <c r="B4">
        <v>165</v>
      </c>
      <c r="C4">
        <v>644.79999999999995</v>
      </c>
      <c r="D4" t="s">
        <v>78</v>
      </c>
      <c r="E4" t="s">
        <v>79</v>
      </c>
    </row>
    <row r="5" spans="1:8" x14ac:dyDescent="0.3">
      <c r="A5">
        <v>104</v>
      </c>
      <c r="B5">
        <v>180</v>
      </c>
      <c r="C5">
        <v>854</v>
      </c>
      <c r="D5" t="s">
        <v>78</v>
      </c>
      <c r="E5" t="s">
        <v>79</v>
      </c>
    </row>
    <row r="6" spans="1:8" x14ac:dyDescent="0.3">
      <c r="A6">
        <v>105</v>
      </c>
      <c r="B6">
        <v>250</v>
      </c>
      <c r="C6">
        <v>670</v>
      </c>
      <c r="D6" t="s">
        <v>78</v>
      </c>
      <c r="E6" t="s">
        <v>79</v>
      </c>
      <c r="H6">
        <f>SUM(C:C)</f>
        <v>53986.1</v>
      </c>
    </row>
    <row r="7" spans="1:8" x14ac:dyDescent="0.3">
      <c r="A7">
        <v>107</v>
      </c>
      <c r="B7">
        <v>400</v>
      </c>
      <c r="C7">
        <v>2000</v>
      </c>
      <c r="D7" t="s">
        <v>78</v>
      </c>
      <c r="E7" t="s">
        <v>77</v>
      </c>
    </row>
    <row r="8" spans="1:8" x14ac:dyDescent="0.3">
      <c r="A8">
        <v>108</v>
      </c>
      <c r="B8">
        <v>550</v>
      </c>
      <c r="C8">
        <v>4000</v>
      </c>
      <c r="D8" t="s">
        <v>78</v>
      </c>
      <c r="E8" t="s">
        <v>77</v>
      </c>
    </row>
    <row r="9" spans="1:8" x14ac:dyDescent="0.3">
      <c r="A9">
        <v>109</v>
      </c>
      <c r="B9">
        <v>390</v>
      </c>
      <c r="C9">
        <v>1360</v>
      </c>
      <c r="D9" t="s">
        <v>78</v>
      </c>
      <c r="E9" t="s">
        <v>77</v>
      </c>
    </row>
    <row r="10" spans="1:8" x14ac:dyDescent="0.3">
      <c r="A10">
        <v>110</v>
      </c>
      <c r="B10">
        <v>1.4</v>
      </c>
      <c r="C10">
        <v>3.5</v>
      </c>
      <c r="D10" t="s">
        <v>76</v>
      </c>
      <c r="E10" t="s">
        <v>77</v>
      </c>
    </row>
    <row r="11" spans="1:8" x14ac:dyDescent="0.3">
      <c r="A11">
        <v>111</v>
      </c>
      <c r="B11">
        <v>25</v>
      </c>
      <c r="C11">
        <v>73.3</v>
      </c>
      <c r="D11" t="s">
        <v>78</v>
      </c>
      <c r="E11" t="s">
        <v>79</v>
      </c>
    </row>
    <row r="12" spans="1:8" x14ac:dyDescent="0.3">
      <c r="A12">
        <v>113</v>
      </c>
      <c r="B12">
        <v>165</v>
      </c>
      <c r="C12">
        <v>701.8</v>
      </c>
      <c r="D12" t="s">
        <v>78</v>
      </c>
      <c r="E12" t="s">
        <v>79</v>
      </c>
    </row>
    <row r="13" spans="1:8" x14ac:dyDescent="0.3">
      <c r="A13">
        <v>114</v>
      </c>
      <c r="B13">
        <v>205</v>
      </c>
      <c r="C13">
        <v>365.3</v>
      </c>
      <c r="D13" t="s">
        <v>78</v>
      </c>
      <c r="E13" t="s">
        <v>79</v>
      </c>
    </row>
    <row r="14" spans="1:8" x14ac:dyDescent="0.3">
      <c r="A14">
        <v>115</v>
      </c>
      <c r="B14">
        <v>55</v>
      </c>
      <c r="C14">
        <v>307.10000000000002</v>
      </c>
      <c r="D14" t="s">
        <v>78</v>
      </c>
      <c r="E14" t="s">
        <v>79</v>
      </c>
    </row>
    <row r="15" spans="1:8" x14ac:dyDescent="0.3">
      <c r="A15">
        <v>116</v>
      </c>
      <c r="B15">
        <v>103</v>
      </c>
      <c r="C15">
        <v>460.5</v>
      </c>
      <c r="D15" t="s">
        <v>78</v>
      </c>
      <c r="E15" t="s">
        <v>79</v>
      </c>
    </row>
    <row r="16" spans="1:8" x14ac:dyDescent="0.3">
      <c r="A16">
        <v>117</v>
      </c>
      <c r="B16">
        <v>200</v>
      </c>
      <c r="C16">
        <v>2202</v>
      </c>
      <c r="D16" t="s">
        <v>78</v>
      </c>
      <c r="E16" t="s">
        <v>79</v>
      </c>
    </row>
    <row r="17" spans="1:5" x14ac:dyDescent="0.3">
      <c r="A17">
        <v>118</v>
      </c>
      <c r="B17">
        <v>3.18</v>
      </c>
      <c r="C17">
        <v>3.3</v>
      </c>
      <c r="D17" t="s">
        <v>78</v>
      </c>
      <c r="E17" t="s">
        <v>79</v>
      </c>
    </row>
    <row r="18" spans="1:5" x14ac:dyDescent="0.3">
      <c r="A18">
        <v>119</v>
      </c>
      <c r="B18">
        <v>237</v>
      </c>
      <c r="C18">
        <v>2847</v>
      </c>
      <c r="D18" t="s">
        <v>78</v>
      </c>
      <c r="E18" t="s">
        <v>79</v>
      </c>
    </row>
    <row r="19" spans="1:5" x14ac:dyDescent="0.3">
      <c r="A19">
        <v>120</v>
      </c>
      <c r="B19">
        <v>7.2</v>
      </c>
      <c r="C19">
        <v>291</v>
      </c>
      <c r="D19" t="s">
        <v>78</v>
      </c>
      <c r="E19" t="s">
        <v>79</v>
      </c>
    </row>
    <row r="20" spans="1:5" x14ac:dyDescent="0.3">
      <c r="A20">
        <v>121</v>
      </c>
      <c r="B20">
        <v>185</v>
      </c>
      <c r="C20">
        <v>1006</v>
      </c>
      <c r="D20" t="s">
        <v>78</v>
      </c>
      <c r="E20" t="s">
        <v>79</v>
      </c>
    </row>
    <row r="21" spans="1:5" x14ac:dyDescent="0.3">
      <c r="A21">
        <v>122</v>
      </c>
      <c r="B21">
        <v>22</v>
      </c>
      <c r="C21">
        <v>322.2</v>
      </c>
      <c r="D21" t="s">
        <v>78</v>
      </c>
      <c r="E21" t="s">
        <v>79</v>
      </c>
    </row>
    <row r="22" spans="1:5" x14ac:dyDescent="0.3">
      <c r="A22">
        <v>123</v>
      </c>
      <c r="B22">
        <v>63</v>
      </c>
      <c r="C22">
        <v>1046</v>
      </c>
      <c r="D22" t="s">
        <v>78</v>
      </c>
      <c r="E22" t="s">
        <v>79</v>
      </c>
    </row>
    <row r="23" spans="1:5" x14ac:dyDescent="0.3">
      <c r="A23">
        <v>124</v>
      </c>
      <c r="B23">
        <v>15.5</v>
      </c>
      <c r="C23">
        <v>263.10000000000002</v>
      </c>
      <c r="D23" t="s">
        <v>78</v>
      </c>
      <c r="E23" t="s">
        <v>79</v>
      </c>
    </row>
    <row r="24" spans="1:5" x14ac:dyDescent="0.3">
      <c r="A24">
        <v>125</v>
      </c>
      <c r="B24">
        <v>400</v>
      </c>
      <c r="C24">
        <v>2798</v>
      </c>
      <c r="D24" t="s">
        <v>78</v>
      </c>
      <c r="E24" t="s">
        <v>79</v>
      </c>
    </row>
    <row r="25" spans="1:5" x14ac:dyDescent="0.3">
      <c r="A25">
        <v>126</v>
      </c>
      <c r="B25">
        <v>400</v>
      </c>
      <c r="C25">
        <v>2048</v>
      </c>
      <c r="D25" t="s">
        <v>78</v>
      </c>
      <c r="E25" t="s">
        <v>79</v>
      </c>
    </row>
    <row r="26" spans="1:5" x14ac:dyDescent="0.3">
      <c r="A26">
        <v>127</v>
      </c>
      <c r="B26">
        <v>70</v>
      </c>
      <c r="C26">
        <v>100</v>
      </c>
      <c r="D26" t="s">
        <v>78</v>
      </c>
      <c r="E26" t="s">
        <v>77</v>
      </c>
    </row>
    <row r="27" spans="1:5" x14ac:dyDescent="0.3">
      <c r="A27">
        <v>128</v>
      </c>
      <c r="B27">
        <v>120</v>
      </c>
      <c r="C27">
        <v>1350</v>
      </c>
      <c r="D27" t="s">
        <v>78</v>
      </c>
      <c r="E27" t="s">
        <v>77</v>
      </c>
    </row>
    <row r="28" spans="1:5" x14ac:dyDescent="0.3">
      <c r="A28">
        <v>129</v>
      </c>
      <c r="B28">
        <v>100</v>
      </c>
      <c r="C28">
        <v>410</v>
      </c>
      <c r="D28" t="s">
        <v>78</v>
      </c>
      <c r="E28" t="s">
        <v>77</v>
      </c>
    </row>
    <row r="29" spans="1:5" x14ac:dyDescent="0.3">
      <c r="A29">
        <v>130</v>
      </c>
      <c r="B29">
        <v>850</v>
      </c>
      <c r="C29">
        <v>8540</v>
      </c>
      <c r="D29" t="s">
        <v>78</v>
      </c>
      <c r="E29" t="s">
        <v>77</v>
      </c>
    </row>
    <row r="30" spans="1:5" x14ac:dyDescent="0.3">
      <c r="A30">
        <v>131</v>
      </c>
      <c r="B30">
        <v>1</v>
      </c>
      <c r="C30">
        <v>5.9</v>
      </c>
      <c r="D30" t="s">
        <v>76</v>
      </c>
      <c r="E30" t="s">
        <v>77</v>
      </c>
    </row>
    <row r="31" spans="1:5" x14ac:dyDescent="0.3">
      <c r="A31">
        <v>132</v>
      </c>
      <c r="B31">
        <v>2</v>
      </c>
      <c r="C31">
        <v>3.6</v>
      </c>
      <c r="D31" t="s">
        <v>76</v>
      </c>
      <c r="E31" t="s">
        <v>77</v>
      </c>
    </row>
    <row r="32" spans="1:5" x14ac:dyDescent="0.3">
      <c r="A32">
        <v>133</v>
      </c>
      <c r="B32">
        <v>5.5</v>
      </c>
      <c r="C32">
        <v>12</v>
      </c>
      <c r="D32" t="s">
        <v>76</v>
      </c>
      <c r="E32" t="s">
        <v>77</v>
      </c>
    </row>
    <row r="33" spans="1:5" x14ac:dyDescent="0.3">
      <c r="A33">
        <v>134</v>
      </c>
      <c r="B33">
        <v>1.8</v>
      </c>
      <c r="C33">
        <v>6.5</v>
      </c>
      <c r="D33" t="s">
        <v>76</v>
      </c>
      <c r="E33" t="s">
        <v>77</v>
      </c>
    </row>
    <row r="34" spans="1:5" x14ac:dyDescent="0.3">
      <c r="A34">
        <v>135</v>
      </c>
      <c r="B34">
        <v>250</v>
      </c>
      <c r="C34">
        <v>3409</v>
      </c>
      <c r="D34" t="s">
        <v>78</v>
      </c>
      <c r="E34" t="s">
        <v>77</v>
      </c>
    </row>
    <row r="35" spans="1:5" x14ac:dyDescent="0.3">
      <c r="A35">
        <v>136</v>
      </c>
      <c r="B35">
        <v>900</v>
      </c>
      <c r="C35">
        <v>11690</v>
      </c>
      <c r="D35" t="s">
        <v>78</v>
      </c>
      <c r="E35" t="s">
        <v>77</v>
      </c>
    </row>
    <row r="36" spans="1:5" x14ac:dyDescent="0.3">
      <c r="A36">
        <v>137</v>
      </c>
      <c r="B36">
        <v>216.7</v>
      </c>
      <c r="C36">
        <v>370.6</v>
      </c>
      <c r="D36" t="s">
        <v>78</v>
      </c>
      <c r="E36" t="s">
        <v>79</v>
      </c>
    </row>
    <row r="37" spans="1:5" x14ac:dyDescent="0.3">
      <c r="A37">
        <v>138</v>
      </c>
      <c r="B37">
        <v>177</v>
      </c>
      <c r="C37">
        <v>714.4</v>
      </c>
      <c r="D37" t="s">
        <v>78</v>
      </c>
      <c r="E37" t="s">
        <v>79</v>
      </c>
    </row>
    <row r="38" spans="1:5" x14ac:dyDescent="0.3">
      <c r="A38">
        <v>139</v>
      </c>
      <c r="B38">
        <v>1.8</v>
      </c>
      <c r="C38">
        <v>3.1</v>
      </c>
      <c r="D38" t="s">
        <v>76</v>
      </c>
      <c r="E38" t="s">
        <v>77</v>
      </c>
    </row>
    <row r="39" spans="1:5" x14ac:dyDescent="0.3">
      <c r="A39">
        <v>140</v>
      </c>
      <c r="B39">
        <v>500</v>
      </c>
      <c r="C39">
        <v>950</v>
      </c>
      <c r="D39" t="s">
        <v>78</v>
      </c>
      <c r="E39" t="s">
        <v>77</v>
      </c>
    </row>
    <row r="40" spans="1:5" x14ac:dyDescent="0.3">
      <c r="A40">
        <v>406</v>
      </c>
      <c r="B40">
        <v>30</v>
      </c>
      <c r="C40">
        <v>350</v>
      </c>
      <c r="D40" t="s">
        <v>78</v>
      </c>
      <c r="E40" t="s">
        <v>77</v>
      </c>
    </row>
    <row r="41" spans="1:5" x14ac:dyDescent="0.3">
      <c r="A41">
        <v>412</v>
      </c>
      <c r="B41">
        <v>160</v>
      </c>
      <c r="C41">
        <v>836.8</v>
      </c>
      <c r="D41" t="s">
        <v>78</v>
      </c>
      <c r="E41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44E5C-8F11-4D1C-95D1-7D0ECEED58A5}">
  <dimension ref="A1:C68"/>
  <sheetViews>
    <sheetView workbookViewId="0">
      <selection activeCell="C1" sqref="C1:C1048576"/>
    </sheetView>
  </sheetViews>
  <sheetFormatPr defaultRowHeight="14.4" x14ac:dyDescent="0.3"/>
  <cols>
    <col min="2" max="2" width="20.6640625" bestFit="1" customWidth="1"/>
  </cols>
  <sheetData>
    <row r="1" spans="1:3" x14ac:dyDescent="0.3">
      <c r="A1" s="3" t="s">
        <v>80</v>
      </c>
      <c r="B1" s="3" t="s">
        <v>81</v>
      </c>
      <c r="C1" s="3" t="s">
        <v>82</v>
      </c>
    </row>
    <row r="2" spans="1:3" x14ac:dyDescent="0.3">
      <c r="A2">
        <v>50</v>
      </c>
      <c r="B2" t="s">
        <v>83</v>
      </c>
      <c r="C2">
        <v>1986</v>
      </c>
    </row>
    <row r="3" spans="1:3" x14ac:dyDescent="0.3">
      <c r="A3">
        <v>51</v>
      </c>
      <c r="B3" t="s">
        <v>84</v>
      </c>
      <c r="C3">
        <v>1959</v>
      </c>
    </row>
    <row r="4" spans="1:3" x14ac:dyDescent="0.3">
      <c r="A4">
        <v>52</v>
      </c>
      <c r="B4" t="s">
        <v>85</v>
      </c>
      <c r="C4">
        <v>1976</v>
      </c>
    </row>
    <row r="5" spans="1:3" x14ac:dyDescent="0.3">
      <c r="A5">
        <v>53</v>
      </c>
      <c r="B5" t="s">
        <v>86</v>
      </c>
      <c r="C5">
        <v>1989</v>
      </c>
    </row>
    <row r="6" spans="1:3" x14ac:dyDescent="0.3">
      <c r="A6">
        <v>54</v>
      </c>
      <c r="B6" t="s">
        <v>87</v>
      </c>
      <c r="C6">
        <v>1983</v>
      </c>
    </row>
    <row r="7" spans="1:3" x14ac:dyDescent="0.3">
      <c r="A7">
        <v>55</v>
      </c>
      <c r="B7" t="s">
        <v>88</v>
      </c>
      <c r="C7">
        <v>1981</v>
      </c>
    </row>
    <row r="8" spans="1:3" x14ac:dyDescent="0.3">
      <c r="A8">
        <v>56</v>
      </c>
      <c r="B8" t="s">
        <v>89</v>
      </c>
      <c r="C8">
        <v>1981</v>
      </c>
    </row>
    <row r="9" spans="1:3" x14ac:dyDescent="0.3">
      <c r="A9">
        <v>57</v>
      </c>
      <c r="B9" t="s">
        <v>90</v>
      </c>
      <c r="C9">
        <v>1942</v>
      </c>
    </row>
    <row r="10" spans="1:3" x14ac:dyDescent="0.3">
      <c r="A10">
        <v>58</v>
      </c>
      <c r="B10" t="s">
        <v>91</v>
      </c>
      <c r="C10">
        <v>1948</v>
      </c>
    </row>
    <row r="11" spans="1:3" x14ac:dyDescent="0.3">
      <c r="A11">
        <v>59</v>
      </c>
      <c r="B11" t="s">
        <v>92</v>
      </c>
      <c r="C11">
        <v>1965</v>
      </c>
    </row>
    <row r="12" spans="1:3" x14ac:dyDescent="0.3">
      <c r="A12">
        <v>60</v>
      </c>
      <c r="B12" t="s">
        <v>93</v>
      </c>
      <c r="C12">
        <v>1974</v>
      </c>
    </row>
    <row r="13" spans="1:3" x14ac:dyDescent="0.3">
      <c r="A13">
        <v>61</v>
      </c>
      <c r="B13" t="s">
        <v>94</v>
      </c>
      <c r="C13">
        <v>1965</v>
      </c>
    </row>
    <row r="14" spans="1:3" x14ac:dyDescent="0.3">
      <c r="A14">
        <v>62</v>
      </c>
      <c r="B14" t="s">
        <v>95</v>
      </c>
      <c r="C14">
        <v>1970</v>
      </c>
    </row>
    <row r="15" spans="1:3" x14ac:dyDescent="0.3">
      <c r="A15">
        <v>63</v>
      </c>
      <c r="B15" t="s">
        <v>96</v>
      </c>
      <c r="C15">
        <v>1979</v>
      </c>
    </row>
    <row r="16" spans="1:3" x14ac:dyDescent="0.3">
      <c r="A16">
        <v>64</v>
      </c>
      <c r="B16" t="s">
        <v>97</v>
      </c>
      <c r="C16">
        <v>1974</v>
      </c>
    </row>
    <row r="17" spans="1:3" x14ac:dyDescent="0.3">
      <c r="A17">
        <v>65</v>
      </c>
      <c r="B17" t="s">
        <v>98</v>
      </c>
      <c r="C17">
        <v>1985</v>
      </c>
    </row>
    <row r="18" spans="1:3" x14ac:dyDescent="0.3">
      <c r="A18">
        <v>66</v>
      </c>
      <c r="B18" t="s">
        <v>99</v>
      </c>
      <c r="C18">
        <v>1986</v>
      </c>
    </row>
    <row r="19" spans="1:3" x14ac:dyDescent="0.3">
      <c r="A19">
        <v>67</v>
      </c>
      <c r="B19" t="s">
        <v>100</v>
      </c>
      <c r="C19">
        <v>1958</v>
      </c>
    </row>
    <row r="20" spans="1:3" x14ac:dyDescent="0.3">
      <c r="A20">
        <v>68</v>
      </c>
      <c r="B20" t="s">
        <v>101</v>
      </c>
      <c r="C20">
        <v>1937</v>
      </c>
    </row>
    <row r="21" spans="1:3" x14ac:dyDescent="0.3">
      <c r="A21">
        <v>69</v>
      </c>
      <c r="B21" t="s">
        <v>102</v>
      </c>
      <c r="C21">
        <v>1974</v>
      </c>
    </row>
    <row r="22" spans="1:3" x14ac:dyDescent="0.3">
      <c r="A22">
        <v>70</v>
      </c>
      <c r="B22" t="s">
        <v>103</v>
      </c>
      <c r="C22">
        <v>1959</v>
      </c>
    </row>
    <row r="23" spans="1:3" x14ac:dyDescent="0.3">
      <c r="A23">
        <v>71</v>
      </c>
      <c r="B23" t="s">
        <v>104</v>
      </c>
      <c r="C23">
        <v>1969</v>
      </c>
    </row>
    <row r="24" spans="1:3" x14ac:dyDescent="0.3">
      <c r="A24">
        <v>72</v>
      </c>
      <c r="B24" t="s">
        <v>105</v>
      </c>
      <c r="C24">
        <v>1982</v>
      </c>
    </row>
    <row r="25" spans="1:3" x14ac:dyDescent="0.3">
      <c r="A25">
        <v>73</v>
      </c>
      <c r="B25" t="s">
        <v>106</v>
      </c>
      <c r="C25">
        <v>1984</v>
      </c>
    </row>
    <row r="26" spans="1:3" x14ac:dyDescent="0.3">
      <c r="A26">
        <v>74</v>
      </c>
      <c r="B26" t="s">
        <v>107</v>
      </c>
      <c r="C26">
        <v>1986</v>
      </c>
    </row>
    <row r="27" spans="1:3" x14ac:dyDescent="0.3">
      <c r="A27">
        <v>75</v>
      </c>
      <c r="B27" t="s">
        <v>108</v>
      </c>
      <c r="C27">
        <v>1968</v>
      </c>
    </row>
    <row r="28" spans="1:3" x14ac:dyDescent="0.3">
      <c r="A28">
        <v>76</v>
      </c>
      <c r="B28" t="s">
        <v>109</v>
      </c>
      <c r="C28">
        <v>1972</v>
      </c>
    </row>
    <row r="29" spans="1:3" x14ac:dyDescent="0.3">
      <c r="A29">
        <v>77</v>
      </c>
      <c r="B29" t="s">
        <v>110</v>
      </c>
      <c r="C29">
        <v>1964</v>
      </c>
    </row>
    <row r="30" spans="1:3" x14ac:dyDescent="0.3">
      <c r="A30">
        <v>78</v>
      </c>
      <c r="B30" t="s">
        <v>111</v>
      </c>
      <c r="C30">
        <v>1974</v>
      </c>
    </row>
    <row r="31" spans="1:3" x14ac:dyDescent="0.3">
      <c r="A31">
        <v>79</v>
      </c>
      <c r="B31" t="s">
        <v>112</v>
      </c>
      <c r="C31">
        <v>1975</v>
      </c>
    </row>
    <row r="32" spans="1:3" x14ac:dyDescent="0.3">
      <c r="A32">
        <v>80</v>
      </c>
      <c r="B32" t="s">
        <v>113</v>
      </c>
      <c r="C32">
        <v>1908</v>
      </c>
    </row>
    <row r="33" spans="1:3" x14ac:dyDescent="0.3">
      <c r="A33">
        <v>81</v>
      </c>
      <c r="B33" t="s">
        <v>114</v>
      </c>
      <c r="C33">
        <v>1921</v>
      </c>
    </row>
    <row r="34" spans="1:3" x14ac:dyDescent="0.3">
      <c r="A34">
        <v>82</v>
      </c>
      <c r="B34" t="s">
        <v>115</v>
      </c>
      <c r="C34">
        <v>1976</v>
      </c>
    </row>
    <row r="35" spans="1:3" x14ac:dyDescent="0.3">
      <c r="A35">
        <v>83</v>
      </c>
      <c r="B35" t="s">
        <v>116</v>
      </c>
      <c r="C35">
        <v>1978</v>
      </c>
    </row>
    <row r="36" spans="1:3" x14ac:dyDescent="0.3">
      <c r="A36">
        <v>84</v>
      </c>
      <c r="B36" t="s">
        <v>117</v>
      </c>
      <c r="C36">
        <v>1924</v>
      </c>
    </row>
    <row r="37" spans="1:3" x14ac:dyDescent="0.3">
      <c r="A37">
        <v>85</v>
      </c>
      <c r="B37" t="s">
        <v>118</v>
      </c>
      <c r="C37">
        <v>1940</v>
      </c>
    </row>
    <row r="38" spans="1:3" x14ac:dyDescent="0.3">
      <c r="A38">
        <v>86</v>
      </c>
      <c r="B38" t="s">
        <v>119</v>
      </c>
      <c r="C38">
        <v>1974</v>
      </c>
    </row>
    <row r="39" spans="1:3" x14ac:dyDescent="0.3">
      <c r="A39">
        <v>87</v>
      </c>
      <c r="B39" t="s">
        <v>120</v>
      </c>
      <c r="C39">
        <v>1979</v>
      </c>
    </row>
    <row r="40" spans="1:3" x14ac:dyDescent="0.3">
      <c r="A40">
        <v>88</v>
      </c>
      <c r="B40" t="s">
        <v>121</v>
      </c>
      <c r="C40">
        <v>1952</v>
      </c>
    </row>
    <row r="41" spans="1:3" x14ac:dyDescent="0.3">
      <c r="A41">
        <v>89</v>
      </c>
      <c r="B41" t="s">
        <v>122</v>
      </c>
      <c r="C41">
        <v>1943</v>
      </c>
    </row>
    <row r="42" spans="1:3" x14ac:dyDescent="0.3">
      <c r="A42">
        <v>90</v>
      </c>
      <c r="B42" t="s">
        <v>123</v>
      </c>
      <c r="C42">
        <v>1947</v>
      </c>
    </row>
    <row r="43" spans="1:3" x14ac:dyDescent="0.3">
      <c r="A43">
        <v>91</v>
      </c>
      <c r="B43" t="s">
        <v>124</v>
      </c>
      <c r="C43">
        <v>1967</v>
      </c>
    </row>
    <row r="44" spans="1:3" x14ac:dyDescent="0.3">
      <c r="A44">
        <v>92</v>
      </c>
      <c r="B44" t="s">
        <v>125</v>
      </c>
      <c r="C44">
        <v>1967</v>
      </c>
    </row>
    <row r="45" spans="1:3" x14ac:dyDescent="0.3">
      <c r="A45">
        <v>93</v>
      </c>
      <c r="B45" t="s">
        <v>126</v>
      </c>
      <c r="C45">
        <v>1975</v>
      </c>
    </row>
    <row r="46" spans="1:3" x14ac:dyDescent="0.3">
      <c r="A46">
        <v>94</v>
      </c>
      <c r="B46" t="s">
        <v>127</v>
      </c>
      <c r="C46">
        <v>1965</v>
      </c>
    </row>
    <row r="47" spans="1:3" x14ac:dyDescent="0.3">
      <c r="A47">
        <v>95</v>
      </c>
      <c r="B47" t="s">
        <v>128</v>
      </c>
      <c r="C47">
        <v>1981</v>
      </c>
    </row>
    <row r="48" spans="1:3" x14ac:dyDescent="0.3">
      <c r="A48">
        <v>150</v>
      </c>
      <c r="B48" t="s">
        <v>129</v>
      </c>
      <c r="C48">
        <v>1905</v>
      </c>
    </row>
    <row r="49" spans="1:3" x14ac:dyDescent="0.3">
      <c r="A49">
        <v>151</v>
      </c>
      <c r="B49" t="s">
        <v>130</v>
      </c>
      <c r="C49">
        <v>1919</v>
      </c>
    </row>
    <row r="50" spans="1:3" x14ac:dyDescent="0.3">
      <c r="A50">
        <v>152</v>
      </c>
      <c r="B50" t="s">
        <v>131</v>
      </c>
      <c r="C50">
        <v>1997</v>
      </c>
    </row>
    <row r="51" spans="1:3" x14ac:dyDescent="0.3">
      <c r="A51">
        <v>153</v>
      </c>
      <c r="B51" t="s">
        <v>132</v>
      </c>
      <c r="C51">
        <v>1929</v>
      </c>
    </row>
    <row r="52" spans="1:3" x14ac:dyDescent="0.3">
      <c r="A52">
        <v>154</v>
      </c>
      <c r="B52" t="s">
        <v>133</v>
      </c>
      <c r="C52">
        <v>1988</v>
      </c>
    </row>
    <row r="53" spans="1:3" x14ac:dyDescent="0.3">
      <c r="A53">
        <v>155</v>
      </c>
      <c r="B53" t="s">
        <v>134</v>
      </c>
      <c r="C53">
        <v>1982</v>
      </c>
    </row>
    <row r="54" spans="1:3" x14ac:dyDescent="0.3">
      <c r="A54">
        <v>156</v>
      </c>
      <c r="B54" t="s">
        <v>135</v>
      </c>
      <c r="C54">
        <v>1982</v>
      </c>
    </row>
    <row r="55" spans="1:3" x14ac:dyDescent="0.3">
      <c r="A55">
        <v>157</v>
      </c>
      <c r="B55" t="s">
        <v>136</v>
      </c>
      <c r="C55">
        <v>1982</v>
      </c>
    </row>
    <row r="56" spans="1:3" x14ac:dyDescent="0.3">
      <c r="A56">
        <v>158</v>
      </c>
      <c r="B56" t="s">
        <v>137</v>
      </c>
      <c r="C56">
        <v>1983</v>
      </c>
    </row>
    <row r="57" spans="1:3" x14ac:dyDescent="0.3">
      <c r="A57">
        <v>159</v>
      </c>
      <c r="B57" t="s">
        <v>138</v>
      </c>
      <c r="C57">
        <v>1985</v>
      </c>
    </row>
    <row r="58" spans="1:3" x14ac:dyDescent="0.3">
      <c r="A58">
        <v>160</v>
      </c>
      <c r="B58" t="s">
        <v>139</v>
      </c>
      <c r="C58">
        <v>1979</v>
      </c>
    </row>
    <row r="59" spans="1:3" x14ac:dyDescent="0.3">
      <c r="A59">
        <v>161</v>
      </c>
      <c r="B59" t="s">
        <v>140</v>
      </c>
      <c r="C59">
        <v>1984</v>
      </c>
    </row>
    <row r="60" spans="1:3" x14ac:dyDescent="0.3">
      <c r="A60">
        <v>162</v>
      </c>
      <c r="B60" t="s">
        <v>141</v>
      </c>
      <c r="C60">
        <v>1950</v>
      </c>
    </row>
    <row r="61" spans="1:3" x14ac:dyDescent="0.3">
      <c r="A61">
        <v>163</v>
      </c>
      <c r="B61" t="s">
        <v>142</v>
      </c>
      <c r="C61">
        <v>1955</v>
      </c>
    </row>
    <row r="62" spans="1:3" x14ac:dyDescent="0.3">
      <c r="A62">
        <v>164</v>
      </c>
      <c r="B62" t="s">
        <v>143</v>
      </c>
      <c r="C62">
        <v>1965</v>
      </c>
    </row>
    <row r="63" spans="1:3" x14ac:dyDescent="0.3">
      <c r="A63">
        <v>165</v>
      </c>
      <c r="B63" t="s">
        <v>144</v>
      </c>
      <c r="C63">
        <v>1967</v>
      </c>
    </row>
    <row r="64" spans="1:3" x14ac:dyDescent="0.3">
      <c r="A64">
        <v>166</v>
      </c>
      <c r="B64" t="s">
        <v>145</v>
      </c>
      <c r="C64">
        <v>1946</v>
      </c>
    </row>
    <row r="65" spans="1:3" x14ac:dyDescent="0.3">
      <c r="A65">
        <v>167</v>
      </c>
      <c r="B65" t="s">
        <v>146</v>
      </c>
      <c r="C65">
        <v>1982</v>
      </c>
    </row>
    <row r="66" spans="1:3" x14ac:dyDescent="0.3">
      <c r="A66">
        <v>168</v>
      </c>
      <c r="B66" t="s">
        <v>147</v>
      </c>
      <c r="C66">
        <v>1956</v>
      </c>
    </row>
    <row r="67" spans="1:3" x14ac:dyDescent="0.3">
      <c r="A67">
        <v>169</v>
      </c>
      <c r="B67" t="s">
        <v>148</v>
      </c>
      <c r="C67">
        <v>1985</v>
      </c>
    </row>
    <row r="68" spans="1:3" x14ac:dyDescent="0.3">
      <c r="A68">
        <v>170</v>
      </c>
      <c r="B68" t="s">
        <v>149</v>
      </c>
      <c r="C68">
        <v>1991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05BAA-D377-495E-94B0-8D2D59DF8244}">
  <dimension ref="A1:B86"/>
  <sheetViews>
    <sheetView workbookViewId="0">
      <selection sqref="A1:A1048576"/>
    </sheetView>
  </sheetViews>
  <sheetFormatPr defaultRowHeight="14.4" x14ac:dyDescent="0.3"/>
  <cols>
    <col min="2" max="2" width="8.88671875" style="5"/>
  </cols>
  <sheetData>
    <row r="1" spans="1:2" x14ac:dyDescent="0.3">
      <c r="A1" s="3" t="s">
        <v>71</v>
      </c>
      <c r="B1" s="4" t="s">
        <v>80</v>
      </c>
    </row>
    <row r="2" spans="1:2" x14ac:dyDescent="0.3">
      <c r="A2">
        <v>101</v>
      </c>
      <c r="B2" s="5">
        <v>50</v>
      </c>
    </row>
    <row r="3" spans="1:2" x14ac:dyDescent="0.3">
      <c r="A3">
        <v>101</v>
      </c>
      <c r="B3" s="5">
        <v>51</v>
      </c>
    </row>
    <row r="4" spans="1:2" x14ac:dyDescent="0.3">
      <c r="A4">
        <v>102</v>
      </c>
      <c r="B4" s="5">
        <v>52</v>
      </c>
    </row>
    <row r="5" spans="1:2" x14ac:dyDescent="0.3">
      <c r="A5">
        <v>102</v>
      </c>
      <c r="B5" s="5">
        <v>53</v>
      </c>
    </row>
    <row r="6" spans="1:2" x14ac:dyDescent="0.3">
      <c r="A6">
        <v>103</v>
      </c>
      <c r="B6" s="5">
        <v>54</v>
      </c>
    </row>
    <row r="7" spans="1:2" x14ac:dyDescent="0.3">
      <c r="A7">
        <v>103</v>
      </c>
      <c r="B7" s="5">
        <v>55</v>
      </c>
    </row>
    <row r="8" spans="1:2" x14ac:dyDescent="0.3">
      <c r="A8">
        <v>103</v>
      </c>
      <c r="B8" s="5">
        <v>56</v>
      </c>
    </row>
    <row r="9" spans="1:2" x14ac:dyDescent="0.3">
      <c r="A9">
        <v>104</v>
      </c>
      <c r="B9" s="5">
        <v>54</v>
      </c>
    </row>
    <row r="10" spans="1:2" x14ac:dyDescent="0.3">
      <c r="A10">
        <v>104</v>
      </c>
      <c r="B10" s="5">
        <v>56</v>
      </c>
    </row>
    <row r="11" spans="1:2" x14ac:dyDescent="0.3">
      <c r="A11">
        <v>105</v>
      </c>
      <c r="B11" s="5">
        <v>54</v>
      </c>
    </row>
    <row r="12" spans="1:2" x14ac:dyDescent="0.3">
      <c r="A12">
        <v>105</v>
      </c>
      <c r="B12" s="5">
        <v>55</v>
      </c>
    </row>
    <row r="13" spans="1:2" x14ac:dyDescent="0.3">
      <c r="A13">
        <v>106</v>
      </c>
      <c r="B13" s="5">
        <v>57</v>
      </c>
    </row>
    <row r="14" spans="1:2" x14ac:dyDescent="0.3">
      <c r="A14">
        <v>106</v>
      </c>
      <c r="B14" s="5">
        <v>58</v>
      </c>
    </row>
    <row r="15" spans="1:2" x14ac:dyDescent="0.3">
      <c r="A15">
        <v>107</v>
      </c>
      <c r="B15" s="5">
        <v>59</v>
      </c>
    </row>
    <row r="16" spans="1:2" x14ac:dyDescent="0.3">
      <c r="A16">
        <v>107</v>
      </c>
      <c r="B16" s="5">
        <v>60</v>
      </c>
    </row>
    <row r="17" spans="1:2" x14ac:dyDescent="0.3">
      <c r="A17">
        <v>108</v>
      </c>
      <c r="B17" s="5">
        <v>61</v>
      </c>
    </row>
    <row r="18" spans="1:2" x14ac:dyDescent="0.3">
      <c r="A18">
        <v>108</v>
      </c>
      <c r="B18" s="5">
        <v>62</v>
      </c>
    </row>
    <row r="19" spans="1:2" x14ac:dyDescent="0.3">
      <c r="A19">
        <v>108</v>
      </c>
      <c r="B19" s="5">
        <v>63</v>
      </c>
    </row>
    <row r="20" spans="1:2" x14ac:dyDescent="0.3">
      <c r="A20">
        <v>109</v>
      </c>
      <c r="B20" s="5">
        <v>59</v>
      </c>
    </row>
    <row r="21" spans="1:2" x14ac:dyDescent="0.3">
      <c r="A21">
        <v>109</v>
      </c>
      <c r="B21" s="5">
        <v>57</v>
      </c>
    </row>
    <row r="22" spans="1:2" x14ac:dyDescent="0.3">
      <c r="A22">
        <v>109</v>
      </c>
      <c r="B22" s="5">
        <v>64</v>
      </c>
    </row>
    <row r="23" spans="1:2" x14ac:dyDescent="0.3">
      <c r="A23">
        <v>110</v>
      </c>
      <c r="B23" s="5">
        <v>65</v>
      </c>
    </row>
    <row r="24" spans="1:2" x14ac:dyDescent="0.3">
      <c r="A24">
        <v>110</v>
      </c>
      <c r="B24" s="5">
        <v>66</v>
      </c>
    </row>
    <row r="25" spans="1:2" x14ac:dyDescent="0.3">
      <c r="A25">
        <v>111</v>
      </c>
      <c r="B25" s="5">
        <v>67</v>
      </c>
    </row>
    <row r="26" spans="1:2" x14ac:dyDescent="0.3">
      <c r="A26">
        <v>111</v>
      </c>
      <c r="B26" s="5">
        <v>68</v>
      </c>
    </row>
    <row r="27" spans="1:2" x14ac:dyDescent="0.3">
      <c r="A27">
        <v>112</v>
      </c>
      <c r="B27" s="5">
        <v>69</v>
      </c>
    </row>
    <row r="28" spans="1:2" x14ac:dyDescent="0.3">
      <c r="A28">
        <v>112</v>
      </c>
      <c r="B28" s="5">
        <v>70</v>
      </c>
    </row>
    <row r="29" spans="1:2" x14ac:dyDescent="0.3">
      <c r="A29">
        <v>113</v>
      </c>
      <c r="B29" s="5">
        <v>71</v>
      </c>
    </row>
    <row r="30" spans="1:2" x14ac:dyDescent="0.3">
      <c r="A30">
        <v>113</v>
      </c>
      <c r="B30" s="5">
        <v>72</v>
      </c>
    </row>
    <row r="31" spans="1:2" x14ac:dyDescent="0.3">
      <c r="A31">
        <v>114</v>
      </c>
      <c r="B31" s="5">
        <v>73</v>
      </c>
    </row>
    <row r="32" spans="1:2" x14ac:dyDescent="0.3">
      <c r="A32">
        <v>114</v>
      </c>
      <c r="B32" s="5">
        <v>74</v>
      </c>
    </row>
    <row r="33" spans="1:2" x14ac:dyDescent="0.3">
      <c r="A33">
        <v>115</v>
      </c>
      <c r="B33" s="5">
        <v>75</v>
      </c>
    </row>
    <row r="34" spans="1:2" x14ac:dyDescent="0.3">
      <c r="A34">
        <v>115</v>
      </c>
      <c r="B34" s="5">
        <v>76</v>
      </c>
    </row>
    <row r="35" spans="1:2" x14ac:dyDescent="0.3">
      <c r="A35">
        <v>116</v>
      </c>
      <c r="B35" s="5">
        <v>77</v>
      </c>
    </row>
    <row r="36" spans="1:2" x14ac:dyDescent="0.3">
      <c r="A36">
        <v>116</v>
      </c>
      <c r="B36" s="5">
        <v>78</v>
      </c>
    </row>
    <row r="37" spans="1:2" x14ac:dyDescent="0.3">
      <c r="A37">
        <v>117</v>
      </c>
      <c r="B37" s="5">
        <v>69</v>
      </c>
    </row>
    <row r="38" spans="1:2" x14ac:dyDescent="0.3">
      <c r="A38">
        <v>117</v>
      </c>
      <c r="B38" s="5">
        <v>79</v>
      </c>
    </row>
    <row r="39" spans="1:2" x14ac:dyDescent="0.3">
      <c r="A39">
        <v>118</v>
      </c>
      <c r="B39" s="5">
        <v>80</v>
      </c>
    </row>
    <row r="40" spans="1:2" x14ac:dyDescent="0.3">
      <c r="A40">
        <v>118</v>
      </c>
      <c r="B40" s="5">
        <v>81</v>
      </c>
    </row>
    <row r="41" spans="1:2" x14ac:dyDescent="0.3">
      <c r="A41">
        <v>119</v>
      </c>
      <c r="B41" s="5">
        <v>82</v>
      </c>
    </row>
    <row r="42" spans="1:2" x14ac:dyDescent="0.3">
      <c r="A42">
        <v>119</v>
      </c>
      <c r="B42" s="5">
        <v>83</v>
      </c>
    </row>
    <row r="43" spans="1:2" x14ac:dyDescent="0.3">
      <c r="A43">
        <v>120</v>
      </c>
      <c r="B43" s="5">
        <v>84</v>
      </c>
    </row>
    <row r="44" spans="1:2" x14ac:dyDescent="0.3">
      <c r="A44">
        <v>120</v>
      </c>
      <c r="B44" s="5">
        <v>85</v>
      </c>
    </row>
    <row r="45" spans="1:2" x14ac:dyDescent="0.3">
      <c r="A45">
        <v>121</v>
      </c>
      <c r="B45" s="5">
        <v>86</v>
      </c>
    </row>
    <row r="46" spans="1:2" x14ac:dyDescent="0.3">
      <c r="A46">
        <v>121</v>
      </c>
      <c r="B46" s="5">
        <v>87</v>
      </c>
    </row>
    <row r="47" spans="1:2" x14ac:dyDescent="0.3">
      <c r="A47">
        <v>122</v>
      </c>
      <c r="B47" s="5">
        <v>88</v>
      </c>
    </row>
    <row r="48" spans="1:2" x14ac:dyDescent="0.3">
      <c r="A48">
        <v>122</v>
      </c>
      <c r="B48" s="5">
        <v>89</v>
      </c>
    </row>
    <row r="49" spans="1:2" x14ac:dyDescent="0.3">
      <c r="A49">
        <v>123</v>
      </c>
      <c r="B49" s="5">
        <v>90</v>
      </c>
    </row>
    <row r="50" spans="1:2" x14ac:dyDescent="0.3">
      <c r="A50">
        <v>123</v>
      </c>
      <c r="B50" s="5">
        <v>91</v>
      </c>
    </row>
    <row r="51" spans="1:2" x14ac:dyDescent="0.3">
      <c r="A51">
        <v>124</v>
      </c>
      <c r="B51" s="5">
        <v>92</v>
      </c>
    </row>
    <row r="52" spans="1:2" x14ac:dyDescent="0.3">
      <c r="A52">
        <v>124</v>
      </c>
      <c r="B52" s="5">
        <v>93</v>
      </c>
    </row>
    <row r="53" spans="1:2" x14ac:dyDescent="0.3">
      <c r="A53">
        <v>125</v>
      </c>
      <c r="B53" s="5">
        <v>94</v>
      </c>
    </row>
    <row r="54" spans="1:2" x14ac:dyDescent="0.3">
      <c r="A54">
        <v>125</v>
      </c>
      <c r="B54" s="5">
        <v>95</v>
      </c>
    </row>
    <row r="55" spans="1:2" x14ac:dyDescent="0.3">
      <c r="A55">
        <v>125</v>
      </c>
      <c r="B55" s="5">
        <v>54</v>
      </c>
    </row>
    <row r="56" spans="1:2" x14ac:dyDescent="0.3">
      <c r="A56">
        <v>126</v>
      </c>
      <c r="B56" s="5">
        <v>94</v>
      </c>
    </row>
    <row r="57" spans="1:2" x14ac:dyDescent="0.3">
      <c r="A57">
        <v>126</v>
      </c>
      <c r="B57" s="5">
        <v>95</v>
      </c>
    </row>
    <row r="58" spans="1:2" x14ac:dyDescent="0.3">
      <c r="A58">
        <v>126</v>
      </c>
      <c r="B58" s="5">
        <v>54</v>
      </c>
    </row>
    <row r="59" spans="1:2" x14ac:dyDescent="0.3">
      <c r="A59">
        <v>127</v>
      </c>
      <c r="B59" s="5">
        <v>150</v>
      </c>
    </row>
    <row r="60" spans="1:2" x14ac:dyDescent="0.3">
      <c r="A60">
        <v>127</v>
      </c>
      <c r="B60" s="5">
        <v>151</v>
      </c>
    </row>
    <row r="61" spans="1:2" x14ac:dyDescent="0.3">
      <c r="A61">
        <v>128</v>
      </c>
      <c r="B61" s="5">
        <v>61</v>
      </c>
    </row>
    <row r="62" spans="1:2" x14ac:dyDescent="0.3">
      <c r="A62">
        <v>128</v>
      </c>
      <c r="B62" s="5">
        <v>152</v>
      </c>
    </row>
    <row r="63" spans="1:2" x14ac:dyDescent="0.3">
      <c r="A63">
        <v>129</v>
      </c>
      <c r="B63" s="5">
        <v>51</v>
      </c>
    </row>
    <row r="64" spans="1:2" x14ac:dyDescent="0.3">
      <c r="A64">
        <v>129</v>
      </c>
      <c r="B64" s="5">
        <v>153</v>
      </c>
    </row>
    <row r="65" spans="1:2" x14ac:dyDescent="0.3">
      <c r="A65">
        <v>130</v>
      </c>
      <c r="B65" s="5">
        <v>61</v>
      </c>
    </row>
    <row r="66" spans="1:2" x14ac:dyDescent="0.3">
      <c r="A66">
        <v>130</v>
      </c>
      <c r="B66" s="5">
        <v>154</v>
      </c>
    </row>
    <row r="67" spans="1:2" x14ac:dyDescent="0.3">
      <c r="A67">
        <v>131</v>
      </c>
      <c r="B67" s="5">
        <v>155</v>
      </c>
    </row>
    <row r="68" spans="1:2" x14ac:dyDescent="0.3">
      <c r="A68">
        <v>131</v>
      </c>
      <c r="B68" s="5">
        <v>154</v>
      </c>
    </row>
    <row r="69" spans="1:2" x14ac:dyDescent="0.3">
      <c r="A69">
        <v>132</v>
      </c>
      <c r="B69" s="5">
        <v>156</v>
      </c>
    </row>
    <row r="70" spans="1:2" x14ac:dyDescent="0.3">
      <c r="A70">
        <v>132</v>
      </c>
      <c r="B70" s="5">
        <v>157</v>
      </c>
    </row>
    <row r="71" spans="1:2" x14ac:dyDescent="0.3">
      <c r="A71">
        <v>133</v>
      </c>
      <c r="B71" s="5">
        <v>158</v>
      </c>
    </row>
    <row r="72" spans="1:2" x14ac:dyDescent="0.3">
      <c r="A72">
        <v>133</v>
      </c>
      <c r="B72" s="5">
        <v>159</v>
      </c>
    </row>
    <row r="73" spans="1:2" x14ac:dyDescent="0.3">
      <c r="A73">
        <v>134</v>
      </c>
      <c r="B73" s="5">
        <v>160</v>
      </c>
    </row>
    <row r="74" spans="1:2" x14ac:dyDescent="0.3">
      <c r="A74">
        <v>134</v>
      </c>
      <c r="B74" s="5">
        <v>161</v>
      </c>
    </row>
    <row r="75" spans="1:2" x14ac:dyDescent="0.3">
      <c r="A75">
        <v>135</v>
      </c>
      <c r="B75" s="5">
        <v>162</v>
      </c>
    </row>
    <row r="76" spans="1:2" x14ac:dyDescent="0.3">
      <c r="A76">
        <v>135</v>
      </c>
      <c r="B76" s="5">
        <v>163</v>
      </c>
    </row>
    <row r="77" spans="1:2" x14ac:dyDescent="0.3">
      <c r="A77">
        <v>136</v>
      </c>
      <c r="B77" s="5">
        <v>164</v>
      </c>
    </row>
    <row r="78" spans="1:2" x14ac:dyDescent="0.3">
      <c r="A78">
        <v>136</v>
      </c>
      <c r="B78" s="5">
        <v>165</v>
      </c>
    </row>
    <row r="79" spans="1:2" x14ac:dyDescent="0.3">
      <c r="A79">
        <v>137</v>
      </c>
      <c r="B79" s="5">
        <v>95</v>
      </c>
    </row>
    <row r="80" spans="1:2" x14ac:dyDescent="0.3">
      <c r="A80">
        <v>137</v>
      </c>
      <c r="B80" s="5">
        <v>166</v>
      </c>
    </row>
    <row r="81" spans="1:2" x14ac:dyDescent="0.3">
      <c r="A81">
        <v>138</v>
      </c>
      <c r="B81" s="5">
        <v>95</v>
      </c>
    </row>
    <row r="82" spans="1:2" x14ac:dyDescent="0.3">
      <c r="A82">
        <v>138</v>
      </c>
      <c r="B82" s="5">
        <v>167</v>
      </c>
    </row>
    <row r="83" spans="1:2" x14ac:dyDescent="0.3">
      <c r="A83">
        <v>139</v>
      </c>
      <c r="B83" s="5">
        <v>164</v>
      </c>
    </row>
    <row r="84" spans="1:2" x14ac:dyDescent="0.3">
      <c r="A84">
        <v>139</v>
      </c>
      <c r="B84" s="5">
        <v>168</v>
      </c>
    </row>
    <row r="85" spans="1:2" x14ac:dyDescent="0.3">
      <c r="A85">
        <v>140</v>
      </c>
      <c r="B85" s="5">
        <v>169</v>
      </c>
    </row>
    <row r="86" spans="1:2" x14ac:dyDescent="0.3">
      <c r="A86">
        <v>140</v>
      </c>
      <c r="B86" s="5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133F4-C6AE-4FE3-AF5A-8CCACC5C289C}">
  <dimension ref="A1:B9"/>
  <sheetViews>
    <sheetView workbookViewId="0">
      <selection sqref="A1:B9"/>
    </sheetView>
  </sheetViews>
  <sheetFormatPr defaultRowHeight="14.4" x14ac:dyDescent="0.3"/>
  <sheetData>
    <row r="1" spans="1:2" x14ac:dyDescent="0.3">
      <c r="A1" s="3" t="s">
        <v>21</v>
      </c>
      <c r="B1" s="3" t="s">
        <v>81</v>
      </c>
    </row>
    <row r="2" spans="1:2" x14ac:dyDescent="0.3">
      <c r="A2">
        <v>1</v>
      </c>
      <c r="B2" t="s">
        <v>150</v>
      </c>
    </row>
    <row r="3" spans="1:2" x14ac:dyDescent="0.3">
      <c r="A3">
        <v>2</v>
      </c>
      <c r="B3" t="s">
        <v>151</v>
      </c>
    </row>
    <row r="4" spans="1:2" x14ac:dyDescent="0.3">
      <c r="A4">
        <v>3</v>
      </c>
      <c r="B4" t="s">
        <v>152</v>
      </c>
    </row>
    <row r="5" spans="1:2" x14ac:dyDescent="0.3">
      <c r="A5">
        <v>4</v>
      </c>
      <c r="B5" t="s">
        <v>153</v>
      </c>
    </row>
    <row r="6" spans="1:2" x14ac:dyDescent="0.3">
      <c r="A6">
        <v>5</v>
      </c>
      <c r="B6" t="s">
        <v>154</v>
      </c>
    </row>
    <row r="7" spans="1:2" x14ac:dyDescent="0.3">
      <c r="A7">
        <v>6</v>
      </c>
      <c r="B7" t="s">
        <v>155</v>
      </c>
    </row>
    <row r="8" spans="1:2" x14ac:dyDescent="0.3">
      <c r="A8">
        <v>7</v>
      </c>
      <c r="B8" t="s">
        <v>156</v>
      </c>
    </row>
    <row r="9" spans="1:2" x14ac:dyDescent="0.3">
      <c r="A9">
        <v>8</v>
      </c>
      <c r="B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MOVIE</vt:lpstr>
      <vt:lpstr>financial</vt:lpstr>
      <vt:lpstr>actor</vt:lpstr>
      <vt:lpstr>movie_actor</vt:lpstr>
      <vt:lpstr>language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Deshmukh</dc:creator>
  <cp:lastModifiedBy>Anurag Deshmukh</cp:lastModifiedBy>
  <dcterms:created xsi:type="dcterms:W3CDTF">2026-01-23T13:44:06Z</dcterms:created>
  <dcterms:modified xsi:type="dcterms:W3CDTF">2026-07-02T10:51:46Z</dcterms:modified>
</cp:coreProperties>
</file>